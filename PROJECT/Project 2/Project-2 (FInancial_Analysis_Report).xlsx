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CoachX\EXCEL\PROJECT\Project 2\"/>
    </mc:Choice>
  </mc:AlternateContent>
  <xr:revisionPtr revIDLastSave="0" documentId="13_ncr:1_{7F189735-1C70-4BE4-B2C7-483CA4E7BD50}" xr6:coauthVersionLast="47" xr6:coauthVersionMax="47" xr10:uidLastSave="{00000000-0000-0000-0000-000000000000}"/>
  <bookViews>
    <workbookView xWindow="-120" yWindow="-120" windowWidth="20730" windowHeight="11760" activeTab="1"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5" i="2" l="1"/>
  <c r="B150" i="2"/>
  <c r="B151" i="2"/>
  <c r="B152" i="2"/>
  <c r="B153" i="2"/>
  <c r="B149" i="2"/>
  <c r="C136" i="2"/>
  <c r="B136" i="2"/>
  <c r="C118" i="2"/>
  <c r="C119" i="2"/>
  <c r="C120" i="2"/>
  <c r="C121" i="2"/>
  <c r="C122" i="2"/>
  <c r="C123" i="2"/>
  <c r="C124" i="2"/>
  <c r="C125" i="2"/>
  <c r="C126" i="2"/>
  <c r="C127" i="2"/>
  <c r="C117" i="2"/>
  <c r="C103" i="2"/>
  <c r="C104" i="2"/>
  <c r="C105" i="2"/>
  <c r="C106" i="2"/>
  <c r="C107" i="2"/>
  <c r="C108" i="2"/>
  <c r="C109" i="2"/>
  <c r="C110" i="2"/>
  <c r="C111" i="2"/>
  <c r="C112" i="2"/>
  <c r="C113" i="2"/>
  <c r="E90" i="2"/>
  <c r="E91" i="2"/>
  <c r="E92" i="2"/>
  <c r="E93" i="2"/>
  <c r="E94" i="2"/>
  <c r="E95" i="2"/>
  <c r="E96" i="2"/>
  <c r="E97" i="2"/>
  <c r="E98" i="2"/>
  <c r="E99" i="2"/>
  <c r="E89" i="2"/>
  <c r="C77" i="2"/>
  <c r="C78" i="2"/>
  <c r="C79" i="2"/>
  <c r="C80" i="2"/>
  <c r="C81" i="2"/>
  <c r="C82" i="2"/>
  <c r="C83" i="2"/>
  <c r="C84" i="2"/>
  <c r="C76" i="2"/>
  <c r="E73" i="2" a="1"/>
  <c r="E73" i="2" s="1"/>
  <c r="B73" i="2" a="1"/>
  <c r="B73" i="2" s="1"/>
  <c r="C59" i="2"/>
  <c r="C60" i="2"/>
  <c r="B59" i="2"/>
  <c r="B60" i="2"/>
  <c r="C58" i="2"/>
  <c r="B58" i="2"/>
  <c r="C56" i="2"/>
  <c r="B56" i="2"/>
  <c r="B46" i="2"/>
  <c r="B40" i="2"/>
  <c r="D21" i="2"/>
  <c r="D24" i="2"/>
  <c r="D29" i="2"/>
  <c r="D28" i="2"/>
  <c r="C29" i="2"/>
  <c r="C30" i="2"/>
  <c r="C31" i="2"/>
  <c r="C32" i="2"/>
  <c r="C33" i="2"/>
  <c r="C34" i="2"/>
  <c r="C35" i="2"/>
  <c r="C28" i="2"/>
  <c r="B25" i="2"/>
  <c r="E17" i="2"/>
  <c r="B18" i="2"/>
  <c r="E7" i="2"/>
  <c r="B7" i="2"/>
  <c r="A95" i="2"/>
  <c r="B28" i="2"/>
  <c r="A29" i="2"/>
  <c r="A30" i="2" s="1"/>
  <c r="A31" i="2" s="1"/>
  <c r="A32" i="2" s="1"/>
  <c r="A33" i="2" s="1"/>
  <c r="A34" i="2" s="1"/>
  <c r="A35" i="2" s="1"/>
  <c r="E12" i="2"/>
  <c r="B14" i="2"/>
  <c r="B12" i="2"/>
  <c r="E28" i="2" l="1"/>
  <c r="F28" i="2" s="1"/>
  <c r="B29" i="2" s="1"/>
  <c r="E29" i="2" l="1"/>
  <c r="F29" i="2" s="1"/>
  <c r="B30" i="2" s="1"/>
  <c r="D30" i="2" l="1"/>
  <c r="E30" i="2" s="1"/>
  <c r="F30" i="2" s="1"/>
  <c r="B31" i="2" s="1"/>
  <c r="D31" i="2" s="1"/>
  <c r="E31" i="2" s="1"/>
  <c r="F31" i="2" s="1"/>
  <c r="B32" i="2" s="1"/>
  <c r="D32" i="2" s="1"/>
  <c r="E32" i="2" l="1"/>
  <c r="F32" i="2" s="1"/>
  <c r="B33" i="2" s="1"/>
  <c r="D33" i="2" s="1"/>
  <c r="E33" i="2" l="1"/>
  <c r="F33" i="2" s="1"/>
  <c r="B34" i="2" s="1"/>
  <c r="D34" i="2" s="1"/>
  <c r="E34" i="2" l="1"/>
  <c r="F34" i="2"/>
  <c r="B35" i="2" s="1"/>
  <c r="D35" i="2" s="1"/>
  <c r="E35" i="2" l="1"/>
  <c r="F35"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<sst xmlns="http://schemas.openxmlformats.org/spreadsheetml/2006/main" count="103" uniqueCount="51">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</sst>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8" formatCode="&quot;₹&quot;\ #,##0.00;[Red]&quot;₹&quot;\ \-#,##0.00"/>
    <numFmt numFmtId="44" formatCode="_ &quot;₹&quot;\ * #,##0.00_ ;_ &quot;₹&quot;\ * \-#,##0.00_ ;_ &quot;₹&quot;\ * &quot;-&quot;??_ ;_ @_ "/>
    <numFmt numFmtId="164" formatCode="dd\/mmm\/yyyy"/>
    <numFmt numFmtId="165" formatCode="d\/m\/yyyy"/>
    <numFmt numFmtId="166" formatCode="&quot;₹&quot;\ #,##0.00"/>
  </numFmts>
  <fonts count="8"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
      <b/>
      <sz val="11"/>
      <color theme="0"/>
      <name val="Calibri"/>
      <family val="2"/>
      <scheme val="minor"/>
    </font>
    <font>
      <sz val="11"/>
      <color theme="1"/>
      <name val="Calibri"/>
      <family val="2"/>
      <scheme val="minor"/>
    </font>
  </fonts>
  <fills count="3">
    <fill>
      <patternFill patternType="none"/>
    </fill>
    <fill>
      <patternFill patternType="gray125"/>
    </fill>
    <fill>
      <patternFill patternType="solid">
        <fgColor theme="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2">
    <xf numFmtId="0" fontId="0" fillId="0" borderId="0"/>
    <xf numFmtId="44" fontId="7" fillId="0" borderId="0" applyFont="0" applyFill="0" applyBorder="0" applyAlignment="0" applyProtection="0"/>
  </cellStyleXfs>
  <cellXfs count="90">
    <xf numFmtId="0" fontId="0" fillId="0" borderId="0" xfId="0"/>
    <xf numFmtId="0" fontId="0" fillId="0" borderId="0" xfId="0"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0" fontId="1" fillId="0" borderId="1" xfId="0" applyFont="1" applyBorder="1" applyAlignment="1">
      <alignment horizontal="center"/>
    </xf>
    <xf numFmtId="6"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8" fontId="2" fillId="2" borderId="1" xfId="0" applyNumberFormat="1" applyFont="1"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8" fontId="0" fillId="0" borderId="12" xfId="0" applyNumberFormat="1" applyBorder="1" applyAlignment="1">
      <alignment horizontal="center"/>
    </xf>
    <xf numFmtId="0" fontId="0" fillId="0" borderId="14" xfId="0" applyBorder="1" applyAlignment="1">
      <alignment horizontal="center"/>
    </xf>
    <xf numFmtId="8" fontId="0" fillId="0" borderId="3" xfId="0" applyNumberFormat="1" applyBorder="1" applyAlignment="1">
      <alignment horizontal="center"/>
    </xf>
    <xf numFmtId="8"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3" xfId="0" applyNumberFormat="1" applyBorder="1" applyAlignment="1">
      <alignment horizontal="center"/>
    </xf>
    <xf numFmtId="8"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0" fontId="0" fillId="0" borderId="13" xfId="0" applyBorder="1" applyAlignment="1">
      <alignment horizontal="center"/>
    </xf>
    <xf numFmtId="164"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4"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8" fontId="0" fillId="0" borderId="30"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1" xfId="0" applyNumberFormat="1" applyBorder="1" applyAlignment="1">
      <alignment horizontal="center"/>
    </xf>
    <xf numFmtId="0" fontId="0" fillId="0" borderId="23" xfId="0" applyBorder="1" applyAlignment="1">
      <alignment horizontal="center"/>
    </xf>
    <xf numFmtId="0" fontId="0" fillId="0" borderId="32" xfId="0"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65"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8" fontId="6" fillId="2" borderId="1" xfId="0" applyNumberFormat="1" applyFont="1" applyFill="1" applyBorder="1" applyAlignment="1">
      <alignment horizontal="center"/>
    </xf>
    <xf numFmtId="0" fontId="0" fillId="0" borderId="6" xfId="0" applyBorder="1" applyAlignment="1">
      <alignment horizontal="center"/>
    </xf>
    <xf numFmtId="2" fontId="0" fillId="0" borderId="15" xfId="0" applyNumberFormat="1" applyBorder="1" applyAlignment="1">
      <alignment horizontal="center"/>
    </xf>
    <xf numFmtId="166" fontId="0" fillId="0" borderId="17" xfId="1" applyNumberFormat="1" applyFont="1" applyBorder="1" applyAlignment="1">
      <alignment horizontal="center"/>
    </xf>
    <xf numFmtId="166" fontId="0" fillId="0" borderId="18" xfId="1" applyNumberFormat="1" applyFont="1" applyBorder="1" applyAlignment="1">
      <alignment horizontal="center"/>
    </xf>
    <xf numFmtId="10" fontId="0" fillId="0" borderId="1" xfId="0" applyNumberFormat="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t>NPV vs Discount Rate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09470691163603"/>
          <c:y val="0.16245370370370371"/>
          <c:w val="0.8028149606299213"/>
          <c:h val="0.72088764946048411"/>
        </c:manualLayout>
      </c:layout>
      <c:scatterChart>
        <c:scatterStyle val="smoothMarker"/>
        <c:varyColors val="0"/>
        <c:ser>
          <c:idx val="0"/>
          <c:order val="0"/>
          <c:tx>
            <c:strRef>
              <c:f>'Project Worksheets'!$C$75</c:f>
              <c:strCache>
                <c:ptCount val="1"/>
                <c:pt idx="0">
                  <c:v>NPV</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xVal>
            <c:numRef>
              <c:f>'Project Worksheets'!$B$76:$B$84</c:f>
              <c:numCache>
                <c:formatCode>0.00%</c:formatCode>
                <c:ptCount val="9"/>
                <c:pt idx="0">
                  <c:v>0.08</c:v>
                </c:pt>
                <c:pt idx="1">
                  <c:v>8.5000000000000006E-2</c:v>
                </c:pt>
                <c:pt idx="2">
                  <c:v>0.09</c:v>
                </c:pt>
                <c:pt idx="3">
                  <c:v>9.5000000000000001E-2</c:v>
                </c:pt>
                <c:pt idx="4">
                  <c:v>0.1</c:v>
                </c:pt>
                <c:pt idx="5">
                  <c:v>0.1053</c:v>
                </c:pt>
                <c:pt idx="6">
                  <c:v>0.11</c:v>
                </c:pt>
                <c:pt idx="7">
                  <c:v>0.115</c:v>
                </c:pt>
                <c:pt idx="8">
                  <c:v>0.12</c:v>
                </c:pt>
              </c:numCache>
            </c:numRef>
          </c:xVal>
          <c:yVal>
            <c:numRef>
              <c:f>'Project Worksheets'!$C$76:$C$84</c:f>
              <c:numCache>
                <c:formatCode>"₹"#,##0.00_);[Red]\("₹"#,##0.00\)</c:formatCode>
                <c:ptCount val="9"/>
                <c:pt idx="0">
                  <c:v>329.34512015444739</c:v>
                </c:pt>
                <c:pt idx="1">
                  <c:v>262.84867179151775</c:v>
                </c:pt>
                <c:pt idx="2">
                  <c:v>197.06894594638266</c:v>
                </c:pt>
                <c:pt idx="3">
                  <c:v>131.99556450879641</c:v>
                </c:pt>
                <c:pt idx="4">
                  <c:v>67.618332081140807</c:v>
                </c:pt>
                <c:pt idx="5">
                  <c:v>0.12736960216557236</c:v>
                </c:pt>
                <c:pt idx="6">
                  <c:v>59.087575522931047</c:v>
                </c:pt>
                <c:pt idx="7">
                  <c:v>121.43576029614178</c:v>
                </c:pt>
                <c:pt idx="8">
                  <c:v>183.12682215743553</c:v>
                </c:pt>
              </c:numCache>
            </c:numRef>
          </c:yVal>
          <c:smooth val="1"/>
          <c:extLst>
            <c:ext xmlns:c16="http://schemas.microsoft.com/office/drawing/2014/chart" uri="{C3380CC4-5D6E-409C-BE32-E72D297353CC}">
              <c16:uniqueId val="{00000000-A411-4B66-9201-7B67792D1702}"/>
            </c:ext>
          </c:extLst>
        </c:ser>
        <c:dLbls>
          <c:showLegendKey val="0"/>
          <c:showVal val="0"/>
          <c:showCatName val="0"/>
          <c:showSerName val="0"/>
          <c:showPercent val="0"/>
          <c:showBubbleSize val="0"/>
        </c:dLbls>
        <c:axId val="570148208"/>
        <c:axId val="455179848"/>
      </c:scatterChart>
      <c:valAx>
        <c:axId val="570148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900" b="0" i="0" u="none" strike="noStrike" cap="all" baseline="0"/>
                  <a:t>Discount Rate</a:t>
                </a: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455179848"/>
        <c:crosses val="autoZero"/>
        <c:crossBetween val="midCat"/>
      </c:valAx>
      <c:valAx>
        <c:axId val="455179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900" b="0" i="0" u="none" strike="noStrike" cap="all" baseline="0"/>
                  <a:t>NPV</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quot;₹&quot;#,##0.00_);[Red]\(&quot;₹&quot;#,##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48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Project A vs Project B Cash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098788204171391E-2"/>
          <c:y val="0.13674467078314742"/>
          <c:w val="0.90416956411013494"/>
          <c:h val="0.73836339409351781"/>
        </c:manualLayout>
      </c:layout>
      <c:barChart>
        <c:barDir val="col"/>
        <c:grouping val="clustered"/>
        <c:varyColors val="0"/>
        <c:ser>
          <c:idx val="0"/>
          <c:order val="0"/>
          <c:tx>
            <c:strRef>
              <c:f>'Project Worksheets'!$A$129</c:f>
              <c:strCache>
                <c:ptCount val="1"/>
                <c:pt idx="0">
                  <c:v>Year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'Project Worksheets'!$A$130:$A$135</c:f>
              <c:numCache>
                <c:formatCode>General</c:formatCode>
                <c:ptCount val="6"/>
                <c:pt idx="0">
                  <c:v>0</c:v>
                </c:pt>
                <c:pt idx="1">
                  <c:v>1</c:v>
                </c:pt>
                <c:pt idx="2">
                  <c:v>2</c:v>
                </c:pt>
                <c:pt idx="3">
                  <c:v>3</c:v>
                </c:pt>
                <c:pt idx="4">
                  <c:v>4</c:v>
                </c:pt>
                <c:pt idx="5">
                  <c:v>5</c:v>
                </c:pt>
              </c:numCache>
            </c:numRef>
          </c:val>
          <c:extLst>
            <c:ext xmlns:c16="http://schemas.microsoft.com/office/drawing/2014/chart" uri="{C3380CC4-5D6E-409C-BE32-E72D297353CC}">
              <c16:uniqueId val="{00000000-550D-4D66-91A8-DC0C44B48D6E}"/>
            </c:ext>
          </c:extLst>
        </c:ser>
        <c:ser>
          <c:idx val="1"/>
          <c:order val="1"/>
          <c:tx>
            <c:strRef>
              <c:f>'Project Worksheets'!$B$129</c:f>
              <c:strCache>
                <c:ptCount val="1"/>
                <c:pt idx="0">
                  <c:v>Project 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'Project Worksheets'!$B$130:$B$135</c:f>
              <c:numCache>
                <c:formatCode>General</c:formatCode>
                <c:ptCount val="6"/>
                <c:pt idx="0">
                  <c:v>-1000</c:v>
                </c:pt>
                <c:pt idx="1">
                  <c:v>0</c:v>
                </c:pt>
                <c:pt idx="2">
                  <c:v>200</c:v>
                </c:pt>
                <c:pt idx="3">
                  <c:v>300</c:v>
                </c:pt>
                <c:pt idx="4">
                  <c:v>500</c:v>
                </c:pt>
                <c:pt idx="5">
                  <c:v>900</c:v>
                </c:pt>
              </c:numCache>
            </c:numRef>
          </c:val>
          <c:extLst>
            <c:ext xmlns:c16="http://schemas.microsoft.com/office/drawing/2014/chart" uri="{C3380CC4-5D6E-409C-BE32-E72D297353CC}">
              <c16:uniqueId val="{00000001-550D-4D66-91A8-DC0C44B48D6E}"/>
            </c:ext>
          </c:extLst>
        </c:ser>
        <c:ser>
          <c:idx val="2"/>
          <c:order val="2"/>
          <c:tx>
            <c:strRef>
              <c:f>'Project Worksheets'!$C$129</c:f>
              <c:strCache>
                <c:ptCount val="1"/>
                <c:pt idx="0">
                  <c:v>Project B</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'Project Worksheets'!$C$130:$C$135</c:f>
              <c:numCache>
                <c:formatCode>General</c:formatCode>
                <c:ptCount val="6"/>
                <c:pt idx="0">
                  <c:v>-1000</c:v>
                </c:pt>
                <c:pt idx="1">
                  <c:v>400</c:v>
                </c:pt>
                <c:pt idx="2">
                  <c:v>400</c:v>
                </c:pt>
                <c:pt idx="3">
                  <c:v>300</c:v>
                </c:pt>
                <c:pt idx="4">
                  <c:v>300</c:v>
                </c:pt>
                <c:pt idx="5">
                  <c:v>200</c:v>
                </c:pt>
              </c:numCache>
            </c:numRef>
          </c:val>
          <c:extLst>
            <c:ext xmlns:c16="http://schemas.microsoft.com/office/drawing/2014/chart" uri="{C3380CC4-5D6E-409C-BE32-E72D297353CC}">
              <c16:uniqueId val="{00000002-550D-4D66-91A8-DC0C44B48D6E}"/>
            </c:ext>
          </c:extLst>
        </c:ser>
        <c:dLbls>
          <c:dLblPos val="outEnd"/>
          <c:showLegendKey val="0"/>
          <c:showVal val="1"/>
          <c:showCatName val="0"/>
          <c:showSerName val="0"/>
          <c:showPercent val="0"/>
          <c:showBubbleSize val="0"/>
        </c:dLbls>
        <c:gapWidth val="219"/>
        <c:overlap val="-27"/>
        <c:axId val="566234832"/>
        <c:axId val="455175168"/>
      </c:barChart>
      <c:catAx>
        <c:axId val="5662348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175168"/>
        <c:crosses val="autoZero"/>
        <c:auto val="1"/>
        <c:lblAlgn val="ctr"/>
        <c:lblOffset val="100"/>
        <c:noMultiLvlLbl val="0"/>
      </c:catAx>
      <c:valAx>
        <c:axId val="45517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234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493059</xdr:colOff>
      <xdr:row>66</xdr:row>
      <xdr:rowOff>129987</xdr:rowOff>
    </xdr:from>
    <xdr:to>
      <xdr:col>13</xdr:col>
      <xdr:colOff>72838</xdr:colOff>
      <xdr:row>81</xdr:row>
      <xdr:rowOff>190499</xdr:rowOff>
    </xdr:to>
    <xdr:graphicFrame macro="">
      <xdr:nvGraphicFramePr>
        <xdr:cNvPr id="2" name="Chart 1">
          <a:extLst>
            <a:ext uri="{FF2B5EF4-FFF2-40B4-BE49-F238E27FC236}">
              <a16:creationId xmlns:a16="http://schemas.microsoft.com/office/drawing/2014/main" id="{42D13905-12C0-2714-6B23-113B11D70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125</xdr:row>
      <xdr:rowOff>51545</xdr:rowOff>
    </xdr:from>
    <xdr:to>
      <xdr:col>18</xdr:col>
      <xdr:colOff>537882</xdr:colOff>
      <xdr:row>143</xdr:row>
      <xdr:rowOff>11206</xdr:rowOff>
    </xdr:to>
    <xdr:graphicFrame macro="">
      <xdr:nvGraphicFramePr>
        <xdr:cNvPr id="3" name="Chart 2">
          <a:extLst>
            <a:ext uri="{FF2B5EF4-FFF2-40B4-BE49-F238E27FC236}">
              <a16:creationId xmlns:a16="http://schemas.microsoft.com/office/drawing/2014/main" id="{E461A38F-FFB3-18AD-1976-7D369F49E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90" zoomScaleNormal="90" workbookViewId="0">
      <selection activeCell="L23" sqref="L23"/>
    </sheetView>
  </sheetViews>
  <sheetFormatPr defaultRowHeight="15"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abSelected="1" topLeftCell="A130" zoomScale="85" zoomScaleNormal="85" workbookViewId="0">
      <selection activeCell="F147" sqref="F147"/>
    </sheetView>
  </sheetViews>
  <sheetFormatPr defaultRowHeight="15" x14ac:dyDescent="0.25"/>
  <cols>
    <col min="1" max="1" width="19.140625" customWidth="1"/>
    <col min="2" max="2" width="19.85546875" customWidth="1"/>
    <col min="3" max="3" width="14.7109375" customWidth="1"/>
    <col min="4" max="4" width="22.7109375" customWidth="1"/>
    <col min="5" max="5" width="14.5703125" customWidth="1"/>
    <col min="6" max="6" width="15.7109375" customWidth="1"/>
  </cols>
  <sheetData>
    <row r="1" spans="1:6" ht="16.149999999999999" thickBot="1" x14ac:dyDescent="0.35">
      <c r="A1" s="81" t="s">
        <v>6</v>
      </c>
      <c r="B1" s="82"/>
      <c r="C1" s="82"/>
      <c r="D1" s="82"/>
      <c r="E1" s="83"/>
    </row>
    <row r="2" spans="1:6" ht="14.45" x14ac:dyDescent="0.3">
      <c r="A2" s="6" t="s">
        <v>0</v>
      </c>
      <c r="B2" s="7">
        <v>32000</v>
      </c>
      <c r="C2" s="1"/>
      <c r="D2" s="6" t="s">
        <v>0</v>
      </c>
      <c r="E2" s="7">
        <v>32000</v>
      </c>
    </row>
    <row r="3" spans="1:6" ht="14.45" x14ac:dyDescent="0.3">
      <c r="A3" s="4" t="s">
        <v>1</v>
      </c>
      <c r="B3" s="2">
        <v>0.13</v>
      </c>
      <c r="C3" s="1"/>
      <c r="D3" s="4" t="s">
        <v>1</v>
      </c>
      <c r="E3" s="2">
        <v>0.13</v>
      </c>
    </row>
    <row r="4" spans="1:6" ht="14.45" x14ac:dyDescent="0.3">
      <c r="A4" s="4" t="s">
        <v>2</v>
      </c>
      <c r="B4" s="2">
        <v>8</v>
      </c>
      <c r="C4" s="1"/>
      <c r="D4" s="4" t="s">
        <v>2</v>
      </c>
      <c r="E4" s="2">
        <v>8</v>
      </c>
    </row>
    <row r="5" spans="1:6" ht="14.45" x14ac:dyDescent="0.3">
      <c r="A5" s="4" t="s">
        <v>5</v>
      </c>
      <c r="B5" s="2">
        <v>-6000</v>
      </c>
      <c r="C5" s="1"/>
      <c r="D5" s="4" t="s">
        <v>5</v>
      </c>
      <c r="E5" s="2">
        <v>-6000</v>
      </c>
    </row>
    <row r="6" spans="1:6" x14ac:dyDescent="0.25">
      <c r="A6" s="80" t="s">
        <v>3</v>
      </c>
      <c r="B6" s="80"/>
      <c r="D6" s="80" t="s">
        <v>3</v>
      </c>
      <c r="E6" s="80"/>
    </row>
    <row r="7" spans="1:6" ht="14.45" customHeight="1" x14ac:dyDescent="0.25">
      <c r="A7" s="4" t="s">
        <v>4</v>
      </c>
      <c r="B7" s="5">
        <f>ABS(B5*(1-(1+B3)^(-B4))/B3)</f>
        <v>28792.621766665405</v>
      </c>
      <c r="C7" s="1"/>
      <c r="D7" s="4" t="s">
        <v>4</v>
      </c>
      <c r="E7" s="5">
        <f>ABS(E5*(1-(1+E3)^(-E4))/E3)</f>
        <v>28792.621766665405</v>
      </c>
    </row>
    <row r="8" spans="1:6" ht="15.75" thickBot="1" x14ac:dyDescent="0.3"/>
    <row r="9" spans="1:6" ht="18.600000000000001" thickBot="1" x14ac:dyDescent="0.4">
      <c r="A9" s="84" t="s">
        <v>14</v>
      </c>
      <c r="B9" s="85"/>
      <c r="C9" s="85"/>
      <c r="D9" s="85"/>
      <c r="E9" s="85"/>
      <c r="F9" s="86"/>
    </row>
    <row r="11" spans="1:6" ht="14.45" x14ac:dyDescent="0.3">
      <c r="A11" s="2" t="s">
        <v>7</v>
      </c>
      <c r="B11" s="2">
        <v>0.12</v>
      </c>
      <c r="D11" s="2" t="s">
        <v>7</v>
      </c>
      <c r="E11" s="2">
        <v>0.16</v>
      </c>
    </row>
    <row r="12" spans="1:6" ht="14.45" x14ac:dyDescent="0.3">
      <c r="A12" s="2" t="s">
        <v>8</v>
      </c>
      <c r="B12" s="2">
        <f>B11/12</f>
        <v>0.01</v>
      </c>
      <c r="D12" s="2" t="s">
        <v>8</v>
      </c>
      <c r="E12" s="2">
        <f>E11/12</f>
        <v>1.3333333333333334E-2</v>
      </c>
    </row>
    <row r="13" spans="1:6" ht="14.45" x14ac:dyDescent="0.3">
      <c r="A13" s="2" t="s">
        <v>9</v>
      </c>
      <c r="B13" s="2">
        <v>25</v>
      </c>
      <c r="D13" s="2" t="s">
        <v>9</v>
      </c>
      <c r="E13" s="2">
        <v>8</v>
      </c>
    </row>
    <row r="14" spans="1:6" ht="14.45" x14ac:dyDescent="0.3">
      <c r="A14" s="2" t="s">
        <v>10</v>
      </c>
      <c r="B14" s="2">
        <f>B13*12</f>
        <v>300</v>
      </c>
      <c r="D14" s="2" t="s">
        <v>11</v>
      </c>
      <c r="E14" s="2">
        <v>-100000</v>
      </c>
    </row>
    <row r="15" spans="1:6" ht="14.45" x14ac:dyDescent="0.3">
      <c r="A15" s="2" t="s">
        <v>11</v>
      </c>
      <c r="B15" s="2">
        <v>-5000000</v>
      </c>
      <c r="D15" s="2" t="s">
        <v>12</v>
      </c>
      <c r="E15" s="2">
        <v>0</v>
      </c>
    </row>
    <row r="16" spans="1:6" x14ac:dyDescent="0.25">
      <c r="A16" s="2" t="s">
        <v>12</v>
      </c>
      <c r="B16" s="2">
        <v>0</v>
      </c>
      <c r="D16" s="2" t="s">
        <v>13</v>
      </c>
      <c r="E16" s="2">
        <v>0</v>
      </c>
    </row>
    <row r="17" spans="1:6" x14ac:dyDescent="0.25">
      <c r="A17" s="2" t="s">
        <v>13</v>
      </c>
      <c r="B17" s="2">
        <v>1</v>
      </c>
      <c r="D17" s="2" t="s">
        <v>14</v>
      </c>
      <c r="E17" s="8">
        <f>ABS(E14*E12*(1+E12)^E13 / ((1+E12)^E13 - 1))</f>
        <v>13261.587371330492</v>
      </c>
    </row>
    <row r="18" spans="1:6" ht="14.45" customHeight="1" x14ac:dyDescent="0.25">
      <c r="A18" s="2" t="s">
        <v>14</v>
      </c>
      <c r="B18" s="8">
        <f>ABS(B15*B12*(1+B12)^B14 / ((1+B12)^B14 - 1))</f>
        <v>52661.20710988139</v>
      </c>
    </row>
    <row r="19" spans="1:6" ht="15.75" thickBot="1" x14ac:dyDescent="0.3"/>
    <row r="20" spans="1:6" ht="30.75" thickBot="1" x14ac:dyDescent="0.3">
      <c r="A20" s="2" t="s">
        <v>8</v>
      </c>
      <c r="B20" s="2">
        <v>1.2999999999999999E-2</v>
      </c>
      <c r="D20" s="21" t="s">
        <v>21</v>
      </c>
    </row>
    <row r="21" spans="1:6" ht="14.45" customHeight="1" x14ac:dyDescent="0.25">
      <c r="A21" s="2" t="s">
        <v>15</v>
      </c>
      <c r="B21" s="2">
        <v>8</v>
      </c>
      <c r="D21" s="18">
        <f>D29+D30</f>
        <v>2132.2333374657837</v>
      </c>
    </row>
    <row r="22" spans="1:6" ht="15.75" thickBot="1" x14ac:dyDescent="0.3">
      <c r="A22" s="2" t="s">
        <v>11</v>
      </c>
      <c r="B22" s="2">
        <v>100000</v>
      </c>
      <c r="D22" s="19"/>
    </row>
    <row r="23" spans="1:6" thickBot="1" x14ac:dyDescent="0.35">
      <c r="A23" s="2" t="s">
        <v>12</v>
      </c>
      <c r="B23" s="2">
        <v>0</v>
      </c>
      <c r="D23" s="20" t="s">
        <v>22</v>
      </c>
    </row>
    <row r="24" spans="1:6" x14ac:dyDescent="0.25">
      <c r="A24" s="2" t="s">
        <v>13</v>
      </c>
      <c r="B24" s="2">
        <v>0</v>
      </c>
      <c r="D24" s="18">
        <f>E29+E30</f>
        <v>24352.300989895943</v>
      </c>
    </row>
    <row r="25" spans="1:6" ht="14.45" customHeight="1" x14ac:dyDescent="0.25">
      <c r="A25" s="2" t="s">
        <v>14</v>
      </c>
      <c r="B25" s="73">
        <f>ABS(B22*B20*(1+B20)^B21 / ((1+B20)^B21 - 1))</f>
        <v>13242.267163680865</v>
      </c>
      <c r="D25" s="3"/>
    </row>
    <row r="26" spans="1:6" ht="15.75" thickBot="1" x14ac:dyDescent="0.3"/>
    <row r="27" spans="1:6" thickBot="1" x14ac:dyDescent="0.35">
      <c r="A27" s="15" t="s">
        <v>16</v>
      </c>
      <c r="B27" s="16" t="s">
        <v>17</v>
      </c>
      <c r="C27" s="16" t="s">
        <v>14</v>
      </c>
      <c r="D27" s="16" t="s">
        <v>18</v>
      </c>
      <c r="E27" s="16" t="s">
        <v>19</v>
      </c>
      <c r="F27" s="17" t="s">
        <v>20</v>
      </c>
    </row>
    <row r="28" spans="1:6" x14ac:dyDescent="0.25">
      <c r="A28" s="12">
        <v>1</v>
      </c>
      <c r="B28" s="13">
        <f>B22</f>
        <v>100000</v>
      </c>
      <c r="C28" s="13">
        <f>$B$25</f>
        <v>13242.267163680865</v>
      </c>
      <c r="D28" s="13">
        <f>B28*$B$20</f>
        <v>1300</v>
      </c>
      <c r="E28" s="13">
        <f>C28-D28</f>
        <v>11942.267163680865</v>
      </c>
      <c r="F28" s="14">
        <f>B28-E28</f>
        <v>88057.732836319134</v>
      </c>
    </row>
    <row r="29" spans="1:6" x14ac:dyDescent="0.25">
      <c r="A29" s="9">
        <f>A28+1</f>
        <v>2</v>
      </c>
      <c r="B29" s="3">
        <f>F28</f>
        <v>88057.732836319134</v>
      </c>
      <c r="C29" s="13">
        <f t="shared" ref="C29:C35" si="0">$B$25</f>
        <v>13242.267163680865</v>
      </c>
      <c r="D29" s="13">
        <f t="shared" ref="D29:D35" si="1">B29*$B$20</f>
        <v>1144.7505268721486</v>
      </c>
      <c r="E29" s="13">
        <f t="shared" ref="E29:E35" si="2">C29-D29</f>
        <v>12097.516636808716</v>
      </c>
      <c r="F29" s="14">
        <f t="shared" ref="F29:F35" si="3">B29-E29</f>
        <v>75960.216199510411</v>
      </c>
    </row>
    <row r="30" spans="1:6" x14ac:dyDescent="0.25">
      <c r="A30" s="9">
        <f t="shared" ref="A30:A35" si="4">A29+1</f>
        <v>3</v>
      </c>
      <c r="B30" s="3">
        <f t="shared" ref="B30:B35" si="5">F29</f>
        <v>75960.216199510411</v>
      </c>
      <c r="C30" s="13">
        <f t="shared" si="0"/>
        <v>13242.267163680865</v>
      </c>
      <c r="D30" s="13">
        <f t="shared" si="1"/>
        <v>987.48281059363535</v>
      </c>
      <c r="E30" s="13">
        <f t="shared" si="2"/>
        <v>12254.784353087229</v>
      </c>
      <c r="F30" s="14">
        <f t="shared" si="3"/>
        <v>63705.431846423184</v>
      </c>
    </row>
    <row r="31" spans="1:6" x14ac:dyDescent="0.25">
      <c r="A31" s="9">
        <f t="shared" si="4"/>
        <v>4</v>
      </c>
      <c r="B31" s="3">
        <f t="shared" si="5"/>
        <v>63705.431846423184</v>
      </c>
      <c r="C31" s="13">
        <f t="shared" si="0"/>
        <v>13242.267163680865</v>
      </c>
      <c r="D31" s="13">
        <f t="shared" si="1"/>
        <v>828.17061400350133</v>
      </c>
      <c r="E31" s="13">
        <f t="shared" si="2"/>
        <v>12414.096549677362</v>
      </c>
      <c r="F31" s="14">
        <f t="shared" si="3"/>
        <v>51291.33529674582</v>
      </c>
    </row>
    <row r="32" spans="1:6" x14ac:dyDescent="0.25">
      <c r="A32" s="9">
        <f t="shared" si="4"/>
        <v>5</v>
      </c>
      <c r="B32" s="3">
        <f t="shared" si="5"/>
        <v>51291.33529674582</v>
      </c>
      <c r="C32" s="13">
        <f t="shared" si="0"/>
        <v>13242.267163680865</v>
      </c>
      <c r="D32" s="13">
        <f t="shared" si="1"/>
        <v>666.78735885769561</v>
      </c>
      <c r="E32" s="13">
        <f t="shared" si="2"/>
        <v>12575.47980482317</v>
      </c>
      <c r="F32" s="14">
        <f t="shared" si="3"/>
        <v>38715.855491922652</v>
      </c>
    </row>
    <row r="33" spans="1:6" x14ac:dyDescent="0.25">
      <c r="A33" s="9">
        <f t="shared" si="4"/>
        <v>6</v>
      </c>
      <c r="B33" s="3">
        <f t="shared" si="5"/>
        <v>38715.855491922652</v>
      </c>
      <c r="C33" s="13">
        <f t="shared" si="0"/>
        <v>13242.267163680865</v>
      </c>
      <c r="D33" s="13">
        <f t="shared" si="1"/>
        <v>503.30612139499448</v>
      </c>
      <c r="E33" s="13">
        <f t="shared" si="2"/>
        <v>12738.96104228587</v>
      </c>
      <c r="F33" s="14">
        <f t="shared" si="3"/>
        <v>25976.894449636784</v>
      </c>
    </row>
    <row r="34" spans="1:6" x14ac:dyDescent="0.25">
      <c r="A34" s="9">
        <f t="shared" si="4"/>
        <v>7</v>
      </c>
      <c r="B34" s="3">
        <f t="shared" si="5"/>
        <v>25976.894449636784</v>
      </c>
      <c r="C34" s="13">
        <f t="shared" si="0"/>
        <v>13242.267163680865</v>
      </c>
      <c r="D34" s="13">
        <f t="shared" si="1"/>
        <v>337.6996278452782</v>
      </c>
      <c r="E34" s="13">
        <f t="shared" si="2"/>
        <v>12904.567535835586</v>
      </c>
      <c r="F34" s="14">
        <f t="shared" si="3"/>
        <v>13072.326913801198</v>
      </c>
    </row>
    <row r="35" spans="1:6" ht="15.75" thickBot="1" x14ac:dyDescent="0.3">
      <c r="A35" s="10">
        <f t="shared" si="4"/>
        <v>8</v>
      </c>
      <c r="B35" s="11">
        <f t="shared" si="5"/>
        <v>13072.326913801198</v>
      </c>
      <c r="C35" s="13">
        <f t="shared" si="0"/>
        <v>13242.267163680865</v>
      </c>
      <c r="D35" s="13">
        <f t="shared" si="1"/>
        <v>169.94024987941557</v>
      </c>
      <c r="E35" s="13">
        <f t="shared" si="2"/>
        <v>13072.326913801449</v>
      </c>
      <c r="F35" s="14">
        <f t="shared" si="3"/>
        <v>-2.5102053768932819E-10</v>
      </c>
    </row>
    <row r="36" spans="1:6" ht="15.75" thickBot="1" x14ac:dyDescent="0.3"/>
    <row r="37" spans="1:6" ht="14.45" x14ac:dyDescent="0.3">
      <c r="A37" s="24" t="s">
        <v>23</v>
      </c>
      <c r="B37" s="25">
        <v>100000</v>
      </c>
    </row>
    <row r="38" spans="1:6" ht="14.45" x14ac:dyDescent="0.3">
      <c r="A38" s="9" t="s">
        <v>24</v>
      </c>
      <c r="B38" s="26">
        <v>15</v>
      </c>
    </row>
    <row r="39" spans="1:6" ht="14.45" x14ac:dyDescent="0.3">
      <c r="A39" s="9" t="s">
        <v>14</v>
      </c>
      <c r="B39" s="26">
        <v>-12000</v>
      </c>
    </row>
    <row r="40" spans="1:6" ht="15.75" thickBot="1" x14ac:dyDescent="0.3">
      <c r="A40" s="10" t="s">
        <v>18</v>
      </c>
      <c r="B40" s="27">
        <f>RATE(B38,B39,B37)</f>
        <v>8.4417979849322686E-2</v>
      </c>
    </row>
    <row r="41" spans="1:6" x14ac:dyDescent="0.25">
      <c r="A41" s="1"/>
      <c r="B41" s="29"/>
    </row>
    <row r="42" spans="1:6" ht="16.5" thickBot="1" x14ac:dyDescent="0.3">
      <c r="A42" s="87" t="s">
        <v>25</v>
      </c>
      <c r="B42" s="87"/>
    </row>
    <row r="43" spans="1:6" x14ac:dyDescent="0.25">
      <c r="A43" s="24" t="s">
        <v>23</v>
      </c>
      <c r="B43" s="25">
        <v>100000</v>
      </c>
    </row>
    <row r="44" spans="1:6" x14ac:dyDescent="0.25">
      <c r="A44" s="9" t="s">
        <v>18</v>
      </c>
      <c r="B44" s="26">
        <v>0.1</v>
      </c>
    </row>
    <row r="45" spans="1:6" x14ac:dyDescent="0.25">
      <c r="A45" s="9" t="s">
        <v>14</v>
      </c>
      <c r="B45" s="26">
        <v>-15000</v>
      </c>
    </row>
    <row r="46" spans="1:6" ht="15.75" thickBot="1" x14ac:dyDescent="0.3">
      <c r="A46" s="10" t="s">
        <v>24</v>
      </c>
      <c r="B46" s="28">
        <f>ROUND(LN(ABS(B45)/(ABS(B45)-(B44/12*B43)))/LN(1+B44/12),0)</f>
        <v>7</v>
      </c>
    </row>
    <row r="47" spans="1:6" x14ac:dyDescent="0.25">
      <c r="A47" s="1"/>
      <c r="B47" s="48"/>
    </row>
    <row r="48" spans="1:6" ht="15.75" x14ac:dyDescent="0.25">
      <c r="A48" s="79" t="s">
        <v>36</v>
      </c>
      <c r="B48" s="79"/>
      <c r="C48" s="79"/>
      <c r="D48" s="79"/>
      <c r="E48" s="79"/>
    </row>
    <row r="50" spans="1:5" x14ac:dyDescent="0.25">
      <c r="A50" s="2" t="s">
        <v>1</v>
      </c>
      <c r="B50" s="55">
        <v>0.2</v>
      </c>
      <c r="C50" s="2"/>
    </row>
    <row r="51" spans="1:5" x14ac:dyDescent="0.25">
      <c r="A51" s="2"/>
      <c r="B51" s="88" t="s">
        <v>26</v>
      </c>
      <c r="C51" s="89"/>
    </row>
    <row r="52" spans="1:5" x14ac:dyDescent="0.25">
      <c r="A52" s="55" t="s">
        <v>27</v>
      </c>
      <c r="B52" s="55" t="s">
        <v>28</v>
      </c>
      <c r="C52" s="55" t="s">
        <v>29</v>
      </c>
    </row>
    <row r="53" spans="1:5" x14ac:dyDescent="0.25">
      <c r="A53" s="2">
        <v>1</v>
      </c>
      <c r="B53" s="2">
        <v>-10000</v>
      </c>
      <c r="C53" s="2">
        <v>-5000</v>
      </c>
    </row>
    <row r="54" spans="1:5" x14ac:dyDescent="0.25">
      <c r="A54" s="2">
        <v>2</v>
      </c>
      <c r="B54" s="2">
        <v>25000</v>
      </c>
      <c r="C54" s="2">
        <v>20000</v>
      </c>
    </row>
    <row r="55" spans="1:5" x14ac:dyDescent="0.25">
      <c r="A55" s="2">
        <v>3</v>
      </c>
      <c r="B55" s="2">
        <v>-7000</v>
      </c>
      <c r="C55" s="2">
        <v>-8000</v>
      </c>
    </row>
    <row r="56" spans="1:5" x14ac:dyDescent="0.25">
      <c r="A56" s="2" t="s">
        <v>30</v>
      </c>
      <c r="B56" s="2">
        <f>SUM(B55,B54,B53)</f>
        <v>8000</v>
      </c>
      <c r="C56" s="2">
        <f>SUM(C55,C54,C53)</f>
        <v>7000</v>
      </c>
    </row>
    <row r="58" spans="1:5" x14ac:dyDescent="0.25">
      <c r="A58" s="2" t="s">
        <v>31</v>
      </c>
      <c r="B58" s="3">
        <f>ABS(B4/(1+$B$1)^1 + B5/(1+$B$1)^2 + B6/(1+$B$1)^3)</f>
        <v>5992</v>
      </c>
      <c r="C58" s="3">
        <f>ABS(C53/(1+$B$1)^1 + C54/(1+$B$1)^2 + C55/(1+$B$1)^3)</f>
        <v>7000</v>
      </c>
    </row>
    <row r="59" spans="1:5" x14ac:dyDescent="0.25">
      <c r="A59" s="2" t="s">
        <v>32</v>
      </c>
      <c r="B59" s="3">
        <f t="shared" ref="B59:B60" si="6">ABS(B5/(1+$B$1)^1 + B6/(1+$B$1)^2 + B7/(1+$B$1)^3)</f>
        <v>22792.621766665405</v>
      </c>
      <c r="C59" s="3">
        <f t="shared" ref="C59:C60" si="7">ABS(C54/(1+$B$1)^1 + C55/(1+$B$1)^2 + C56/(1+$B$1)^3)</f>
        <v>19000</v>
      </c>
    </row>
    <row r="60" spans="1:5" x14ac:dyDescent="0.25">
      <c r="A60" s="2" t="s">
        <v>33</v>
      </c>
      <c r="B60" s="3">
        <f t="shared" si="6"/>
        <v>28792.621766665405</v>
      </c>
      <c r="C60" s="3">
        <f t="shared" si="7"/>
        <v>1000</v>
      </c>
    </row>
    <row r="61" spans="1:5" ht="15.75" thickBot="1" x14ac:dyDescent="0.3"/>
    <row r="62" spans="1:5" x14ac:dyDescent="0.25">
      <c r="A62" s="49" t="s">
        <v>1</v>
      </c>
      <c r="B62" s="50">
        <v>0.2</v>
      </c>
      <c r="D62" s="49" t="s">
        <v>1</v>
      </c>
      <c r="E62" s="50">
        <v>0.2</v>
      </c>
    </row>
    <row r="63" spans="1:5" ht="15.75" thickBot="1" x14ac:dyDescent="0.3">
      <c r="A63" s="53" t="s">
        <v>34</v>
      </c>
      <c r="B63" s="54" t="s">
        <v>26</v>
      </c>
      <c r="D63" s="51" t="s">
        <v>34</v>
      </c>
      <c r="E63" s="52" t="s">
        <v>26</v>
      </c>
    </row>
    <row r="64" spans="1:5" x14ac:dyDescent="0.25">
      <c r="A64" s="31">
        <v>42536</v>
      </c>
      <c r="B64" s="26">
        <v>5000</v>
      </c>
      <c r="D64" s="37">
        <v>42078</v>
      </c>
      <c r="E64" s="38">
        <v>0</v>
      </c>
    </row>
    <row r="65" spans="1:5" x14ac:dyDescent="0.25">
      <c r="A65" s="31">
        <v>42657</v>
      </c>
      <c r="B65" s="26">
        <v>5143</v>
      </c>
      <c r="D65" s="31">
        <v>42536</v>
      </c>
      <c r="E65" s="26">
        <v>5000</v>
      </c>
    </row>
    <row r="66" spans="1:5" x14ac:dyDescent="0.25">
      <c r="A66" s="31">
        <v>42855</v>
      </c>
      <c r="B66" s="26">
        <v>8838</v>
      </c>
      <c r="D66" s="31">
        <v>42657</v>
      </c>
      <c r="E66" s="26">
        <v>5143</v>
      </c>
    </row>
    <row r="67" spans="1:5" x14ac:dyDescent="0.25">
      <c r="A67" s="31">
        <v>42684</v>
      </c>
      <c r="B67" s="26">
        <v>-4893</v>
      </c>
      <c r="D67" s="31">
        <v>42855</v>
      </c>
      <c r="E67" s="26">
        <v>8838</v>
      </c>
    </row>
    <row r="68" spans="1:5" x14ac:dyDescent="0.25">
      <c r="A68" s="31">
        <v>42629</v>
      </c>
      <c r="B68" s="26">
        <v>-2134</v>
      </c>
      <c r="D68" s="31">
        <v>42684</v>
      </c>
      <c r="E68" s="26">
        <v>-4893</v>
      </c>
    </row>
    <row r="69" spans="1:5" x14ac:dyDescent="0.25">
      <c r="A69" s="31">
        <v>42843</v>
      </c>
      <c r="B69" s="26">
        <v>8047</v>
      </c>
      <c r="D69" s="31">
        <v>42629</v>
      </c>
      <c r="E69" s="26">
        <v>-2134</v>
      </c>
    </row>
    <row r="70" spans="1:5" x14ac:dyDescent="0.25">
      <c r="A70" s="31">
        <v>42609</v>
      </c>
      <c r="B70" s="26">
        <v>3908</v>
      </c>
      <c r="D70" s="31">
        <v>42843</v>
      </c>
      <c r="E70" s="26">
        <v>8047</v>
      </c>
    </row>
    <row r="71" spans="1:5" ht="15.75" thickBot="1" x14ac:dyDescent="0.3">
      <c r="A71" s="32">
        <v>42568</v>
      </c>
      <c r="B71" s="33">
        <v>-4007</v>
      </c>
      <c r="D71" s="34">
        <v>42609</v>
      </c>
      <c r="E71" s="35">
        <v>3908</v>
      </c>
    </row>
    <row r="72" spans="1:5" ht="15.75" thickBot="1" x14ac:dyDescent="0.3">
      <c r="D72" s="32">
        <v>42568</v>
      </c>
      <c r="E72" s="33">
        <v>-4007</v>
      </c>
    </row>
    <row r="73" spans="1:5" ht="15.75" thickBot="1" x14ac:dyDescent="0.3">
      <c r="A73" s="30" t="s">
        <v>35</v>
      </c>
      <c r="B73" s="74" cm="1">
        <f t="array" ref="B73">SUM( B64:B71 / (1+$B$62)^((A64:A71-$A$64)/365) )</f>
        <v>17523.654500894841</v>
      </c>
      <c r="D73" s="22" t="s">
        <v>35</v>
      </c>
      <c r="E73" s="36" cm="1">
        <f t="array" ref="E73">SUM( E64:E72 / (1+$E$62)^((D64:D72-$D$64)/365) )</f>
        <v>13940.183426721771</v>
      </c>
    </row>
    <row r="74" spans="1:5" ht="15.75" thickBot="1" x14ac:dyDescent="0.3"/>
    <row r="75" spans="1:5" ht="15.75" thickBot="1" x14ac:dyDescent="0.3">
      <c r="A75" s="56" t="s">
        <v>26</v>
      </c>
      <c r="B75" s="57" t="s">
        <v>1</v>
      </c>
      <c r="C75" s="58" t="s">
        <v>35</v>
      </c>
    </row>
    <row r="76" spans="1:5" x14ac:dyDescent="0.25">
      <c r="A76" s="45">
        <v>10000</v>
      </c>
      <c r="B76" s="46">
        <v>0.08</v>
      </c>
      <c r="C76" s="47">
        <f>ABS($A$76 + $A$77/(1+B76)^1 + $A$78/(1+B76)^2 + $A$79/(1+B76)^3)</f>
        <v>329.34512015444739</v>
      </c>
    </row>
    <row r="77" spans="1:5" x14ac:dyDescent="0.25">
      <c r="A77" s="41">
        <v>-5000</v>
      </c>
      <c r="B77" s="43">
        <v>8.5000000000000006E-2</v>
      </c>
      <c r="C77" s="47">
        <f t="shared" ref="C77:C84" si="8">ABS($A$76 + $A$77/(1+B77)^1 + $A$78/(1+B77)^2 + $A$79/(1+B77)^3)</f>
        <v>262.84867179151775</v>
      </c>
    </row>
    <row r="78" spans="1:5" x14ac:dyDescent="0.25">
      <c r="A78" s="41">
        <v>-8500</v>
      </c>
      <c r="B78" s="43">
        <v>0.09</v>
      </c>
      <c r="C78" s="47">
        <f t="shared" si="8"/>
        <v>197.06894594638266</v>
      </c>
    </row>
    <row r="79" spans="1:5" ht="15.75" thickBot="1" x14ac:dyDescent="0.3">
      <c r="A79" s="42">
        <v>2000</v>
      </c>
      <c r="B79" s="43">
        <v>9.5000000000000001E-2</v>
      </c>
      <c r="C79" s="47">
        <f t="shared" si="8"/>
        <v>131.99556450879641</v>
      </c>
    </row>
    <row r="80" spans="1:5" x14ac:dyDescent="0.25">
      <c r="A80" s="1"/>
      <c r="B80" s="43">
        <v>0.1</v>
      </c>
      <c r="C80" s="47">
        <f t="shared" si="8"/>
        <v>67.618332081140807</v>
      </c>
    </row>
    <row r="81" spans="1:6" x14ac:dyDescent="0.25">
      <c r="A81" s="1"/>
      <c r="B81" s="43">
        <v>0.1053</v>
      </c>
      <c r="C81" s="47">
        <f t="shared" si="8"/>
        <v>0.12736960216557236</v>
      </c>
    </row>
    <row r="82" spans="1:6" x14ac:dyDescent="0.25">
      <c r="A82" s="1"/>
      <c r="B82" s="43">
        <v>0.11</v>
      </c>
      <c r="C82" s="47">
        <f t="shared" si="8"/>
        <v>59.087575522931047</v>
      </c>
    </row>
    <row r="83" spans="1:6" x14ac:dyDescent="0.25">
      <c r="A83" s="1"/>
      <c r="B83" s="43">
        <v>0.115</v>
      </c>
      <c r="C83" s="47">
        <f t="shared" si="8"/>
        <v>121.43576029614178</v>
      </c>
    </row>
    <row r="84" spans="1:6" ht="15.75" thickBot="1" x14ac:dyDescent="0.3">
      <c r="A84" s="1"/>
      <c r="B84" s="44">
        <v>0.12</v>
      </c>
      <c r="C84" s="47">
        <f t="shared" si="8"/>
        <v>183.12682215743553</v>
      </c>
    </row>
    <row r="85" spans="1:6" x14ac:dyDescent="0.25">
      <c r="B85" s="39"/>
    </row>
    <row r="86" spans="1:6" ht="15.75" x14ac:dyDescent="0.25">
      <c r="A86" s="79" t="s">
        <v>38</v>
      </c>
      <c r="B86" s="79"/>
      <c r="C86" s="79"/>
      <c r="D86" s="79"/>
      <c r="E86" s="79"/>
      <c r="F86" s="79"/>
    </row>
    <row r="87" spans="1:6" ht="15.75" thickBot="1" x14ac:dyDescent="0.3"/>
    <row r="88" spans="1:6" ht="15.75" thickBot="1" x14ac:dyDescent="0.3">
      <c r="A88" s="55" t="s">
        <v>37</v>
      </c>
      <c r="C88" s="69" t="s">
        <v>37</v>
      </c>
      <c r="D88" s="57" t="s">
        <v>39</v>
      </c>
      <c r="E88" s="70" t="s">
        <v>38</v>
      </c>
    </row>
    <row r="89" spans="1:6" x14ac:dyDescent="0.25">
      <c r="A89" s="2">
        <v>10000</v>
      </c>
      <c r="C89" s="61">
        <v>10000</v>
      </c>
      <c r="D89" s="12"/>
      <c r="E89" s="75">
        <f>$C$89 + $C$90/(1+D90)^1 + $C$91/(1+D90)^2 + $C$92/(1+D90)^3</f>
        <v>-743.98013173523304</v>
      </c>
    </row>
    <row r="90" spans="1:6" x14ac:dyDescent="0.25">
      <c r="A90" s="2">
        <v>-5000</v>
      </c>
      <c r="C90" s="60">
        <v>-5000</v>
      </c>
      <c r="D90" s="9">
        <v>0.05</v>
      </c>
      <c r="E90" s="75">
        <f t="shared" ref="E90:E99" si="9">$C$89 + $C$90/(1+D91)^1 + $C$91/(1+D91)^2 + $C$92/(1+D91)^3</f>
        <v>539.98520588476958</v>
      </c>
    </row>
    <row r="91" spans="1:6" x14ac:dyDescent="0.25">
      <c r="A91" s="2">
        <v>-8500</v>
      </c>
      <c r="C91" s="60">
        <v>-8500</v>
      </c>
      <c r="D91" s="9">
        <v>0.15</v>
      </c>
      <c r="E91" s="75">
        <f t="shared" si="9"/>
        <v>1087.9629629629621</v>
      </c>
    </row>
    <row r="92" spans="1:6" x14ac:dyDescent="0.25">
      <c r="A92" s="2">
        <v>2000</v>
      </c>
      <c r="C92" s="60">
        <v>2000</v>
      </c>
      <c r="D92" s="9">
        <v>0.2</v>
      </c>
      <c r="E92" s="75">
        <f t="shared" si="9"/>
        <v>1584</v>
      </c>
    </row>
    <row r="93" spans="1:6" ht="15.75" thickBot="1" x14ac:dyDescent="0.3">
      <c r="D93" s="9">
        <v>0.25</v>
      </c>
      <c r="E93" s="75">
        <f t="shared" si="9"/>
        <v>2034.5926263086037</v>
      </c>
    </row>
    <row r="94" spans="1:6" ht="15.75" thickBot="1" x14ac:dyDescent="0.3">
      <c r="A94" s="71" t="s">
        <v>38</v>
      </c>
      <c r="D94" s="9">
        <v>0.3</v>
      </c>
      <c r="E94" s="75">
        <f t="shared" si="9"/>
        <v>2445.2573286592501</v>
      </c>
    </row>
    <row r="95" spans="1:6" ht="15.75" thickBot="1" x14ac:dyDescent="0.3">
      <c r="A95" s="59">
        <f>IRR(A89:A92)</f>
        <v>0.1053100591867342</v>
      </c>
      <c r="D95" s="9">
        <v>0.35</v>
      </c>
      <c r="E95" s="75">
        <f t="shared" si="9"/>
        <v>2820.6997084548098</v>
      </c>
    </row>
    <row r="96" spans="1:6" x14ac:dyDescent="0.25">
      <c r="D96" s="9">
        <v>0.4</v>
      </c>
      <c r="E96" s="75">
        <f t="shared" si="9"/>
        <v>3164.9514125220389</v>
      </c>
    </row>
    <row r="97" spans="1:5" x14ac:dyDescent="0.25">
      <c r="D97" s="9">
        <v>0.45</v>
      </c>
      <c r="E97" s="75">
        <f t="shared" si="9"/>
        <v>3481.4814814814808</v>
      </c>
    </row>
    <row r="98" spans="1:5" x14ac:dyDescent="0.25">
      <c r="D98" s="9">
        <v>0.5</v>
      </c>
      <c r="E98" s="75">
        <f t="shared" si="9"/>
        <v>3773.287234399651</v>
      </c>
    </row>
    <row r="99" spans="1:5" ht="15.75" thickBot="1" x14ac:dyDescent="0.3">
      <c r="D99" s="10">
        <v>0.55000000000000004</v>
      </c>
      <c r="E99" s="75">
        <f t="shared" si="9"/>
        <v>-1500</v>
      </c>
    </row>
    <row r="101" spans="1:5" ht="15.75" thickBot="1" x14ac:dyDescent="0.3"/>
    <row r="102" spans="1:5" ht="15.75" thickBot="1" x14ac:dyDescent="0.3">
      <c r="A102" s="72" t="s">
        <v>37</v>
      </c>
      <c r="B102" s="15" t="s">
        <v>39</v>
      </c>
      <c r="C102" s="17" t="s">
        <v>38</v>
      </c>
    </row>
    <row r="103" spans="1:5" x14ac:dyDescent="0.25">
      <c r="A103" s="61">
        <v>-20000</v>
      </c>
      <c r="B103" s="12"/>
      <c r="C103" s="75">
        <f>$A$103 + $A$104/(1+B104)^1 + $A$105/(1+B104)^2 + $A$106/(1+B104)^3</f>
        <v>7250.7602531437478</v>
      </c>
    </row>
    <row r="104" spans="1:5" x14ac:dyDescent="0.25">
      <c r="A104" s="60">
        <v>82000</v>
      </c>
      <c r="B104" s="43">
        <v>0.15</v>
      </c>
      <c r="C104" s="75">
        <f t="shared" ref="C104:C113" si="10">$A$103 + $A$104/(1+B105)^1 + $A$105/(1+B105)^2 + $A$106/(1+B105)^3</f>
        <v>7824.0740740740785</v>
      </c>
    </row>
    <row r="105" spans="1:5" x14ac:dyDescent="0.25">
      <c r="A105" s="60">
        <v>-60000</v>
      </c>
      <c r="B105" s="43">
        <v>0.2</v>
      </c>
      <c r="C105" s="75">
        <f t="shared" si="10"/>
        <v>8224</v>
      </c>
    </row>
    <row r="106" spans="1:5" x14ac:dyDescent="0.25">
      <c r="A106" s="60">
        <v>2000</v>
      </c>
      <c r="B106" s="43">
        <v>0.25</v>
      </c>
      <c r="C106" s="75">
        <f t="shared" si="10"/>
        <v>8484.2967683204388</v>
      </c>
    </row>
    <row r="107" spans="1:5" x14ac:dyDescent="0.25">
      <c r="B107" s="43">
        <v>0.3</v>
      </c>
      <c r="C107" s="75">
        <f t="shared" si="10"/>
        <v>8631.8142559569169</v>
      </c>
    </row>
    <row r="108" spans="1:5" x14ac:dyDescent="0.25">
      <c r="B108" s="43">
        <v>0.35</v>
      </c>
      <c r="C108" s="75">
        <f t="shared" si="10"/>
        <v>8688.0466472303196</v>
      </c>
    </row>
    <row r="109" spans="1:5" x14ac:dyDescent="0.25">
      <c r="B109" s="43">
        <v>0.4</v>
      </c>
      <c r="C109" s="75">
        <f t="shared" si="10"/>
        <v>8670.3021854114577</v>
      </c>
    </row>
    <row r="110" spans="1:5" x14ac:dyDescent="0.25">
      <c r="B110" s="43">
        <v>0.45</v>
      </c>
      <c r="C110" s="75">
        <f t="shared" si="10"/>
        <v>8592.5925925925894</v>
      </c>
    </row>
    <row r="111" spans="1:5" x14ac:dyDescent="0.25">
      <c r="B111" s="43">
        <v>0.5</v>
      </c>
      <c r="C111" s="75">
        <f t="shared" si="10"/>
        <v>8466.3153301332641</v>
      </c>
    </row>
    <row r="112" spans="1:5" x14ac:dyDescent="0.25">
      <c r="B112" s="43">
        <v>0.55000000000000004</v>
      </c>
      <c r="C112" s="75">
        <f t="shared" si="10"/>
        <v>8300.7812500000036</v>
      </c>
    </row>
    <row r="113" spans="1:3" ht="15.75" thickBot="1" x14ac:dyDescent="0.3">
      <c r="B113" s="44">
        <v>0.6</v>
      </c>
      <c r="C113" s="75">
        <f t="shared" si="10"/>
        <v>4000</v>
      </c>
    </row>
    <row r="115" spans="1:3" ht="15.75" thickBot="1" x14ac:dyDescent="0.3"/>
    <row r="116" spans="1:3" ht="15.75" thickBot="1" x14ac:dyDescent="0.3">
      <c r="A116" s="56" t="s">
        <v>37</v>
      </c>
      <c r="B116" s="57" t="s">
        <v>39</v>
      </c>
      <c r="C116" s="70" t="s">
        <v>38</v>
      </c>
    </row>
    <row r="117" spans="1:3" x14ac:dyDescent="0.25">
      <c r="A117" s="61">
        <v>10000</v>
      </c>
      <c r="B117" s="12"/>
      <c r="C117" s="75">
        <f>$A$117 + $A$118/(1+B118)^1 + $A$119/(1+B118)^2 + $A$120/(1+B118)^3</f>
        <v>14675.521002051613</v>
      </c>
    </row>
    <row r="118" spans="1:3" x14ac:dyDescent="0.25">
      <c r="A118" s="60">
        <v>-5000</v>
      </c>
      <c r="B118" s="9">
        <v>0.05</v>
      </c>
      <c r="C118" s="75">
        <f t="shared" ref="C118:C127" si="11">$A$117 + $A$118/(1+B119)^1 + $A$119/(1+B119)^2 + $A$120/(1+B119)^3</f>
        <v>13394.42754993014</v>
      </c>
    </row>
    <row r="119" spans="1:3" x14ac:dyDescent="0.25">
      <c r="A119" s="60">
        <v>8500</v>
      </c>
      <c r="B119" s="9">
        <v>0.15</v>
      </c>
      <c r="C119" s="75">
        <f t="shared" si="11"/>
        <v>12893.518518518518</v>
      </c>
    </row>
    <row r="120" spans="1:3" x14ac:dyDescent="0.25">
      <c r="A120" s="60">
        <v>2000</v>
      </c>
      <c r="B120" s="9">
        <v>0.2</v>
      </c>
      <c r="C120" s="75">
        <f t="shared" si="11"/>
        <v>12464</v>
      </c>
    </row>
    <row r="121" spans="1:3" x14ac:dyDescent="0.25">
      <c r="B121" s="9">
        <v>0.25</v>
      </c>
      <c r="C121" s="75">
        <f t="shared" si="11"/>
        <v>12093.764223941738</v>
      </c>
    </row>
    <row r="122" spans="1:3" x14ac:dyDescent="0.25">
      <c r="B122" s="9">
        <v>0.3</v>
      </c>
      <c r="C122" s="75">
        <f t="shared" si="11"/>
        <v>11773.103693542649</v>
      </c>
    </row>
    <row r="123" spans="1:3" x14ac:dyDescent="0.25">
      <c r="B123" s="9">
        <v>0.35</v>
      </c>
      <c r="C123" s="75">
        <f t="shared" si="11"/>
        <v>11494.169096209913</v>
      </c>
    </row>
    <row r="124" spans="1:3" x14ac:dyDescent="0.25">
      <c r="B124" s="9">
        <v>0.4</v>
      </c>
      <c r="C124" s="75">
        <f t="shared" si="11"/>
        <v>11250.563778752716</v>
      </c>
    </row>
    <row r="125" spans="1:3" x14ac:dyDescent="0.25">
      <c r="B125" s="9">
        <v>0.45</v>
      </c>
      <c r="C125" s="75">
        <f t="shared" si="11"/>
        <v>11037.037037037036</v>
      </c>
    </row>
    <row r="126" spans="1:3" x14ac:dyDescent="0.25">
      <c r="B126" s="9">
        <v>0.5</v>
      </c>
      <c r="C126" s="75">
        <f t="shared" si="11"/>
        <v>10849.249773421503</v>
      </c>
    </row>
    <row r="127" spans="1:3" ht="15.75" thickBot="1" x14ac:dyDescent="0.3">
      <c r="B127" s="10">
        <v>0.55000000000000004</v>
      </c>
      <c r="C127" s="75">
        <f t="shared" si="11"/>
        <v>15500</v>
      </c>
    </row>
    <row r="129" spans="1:6" x14ac:dyDescent="0.25">
      <c r="A129" s="55" t="s">
        <v>40</v>
      </c>
      <c r="B129" s="55" t="s">
        <v>41</v>
      </c>
      <c r="C129" s="55" t="s">
        <v>42</v>
      </c>
      <c r="E129" s="55" t="s">
        <v>34</v>
      </c>
      <c r="F129" s="55" t="s">
        <v>26</v>
      </c>
    </row>
    <row r="130" spans="1:6" x14ac:dyDescent="0.25">
      <c r="A130" s="2">
        <v>0</v>
      </c>
      <c r="B130" s="2">
        <v>-1000</v>
      </c>
      <c r="C130" s="2">
        <v>-1000</v>
      </c>
      <c r="E130" s="66">
        <v>42220</v>
      </c>
      <c r="F130" s="2">
        <v>-10000</v>
      </c>
    </row>
    <row r="131" spans="1:6" x14ac:dyDescent="0.25">
      <c r="A131" s="2">
        <v>1</v>
      </c>
      <c r="B131" s="2">
        <v>0</v>
      </c>
      <c r="C131" s="2">
        <v>400</v>
      </c>
      <c r="E131" s="2" t="s">
        <v>43</v>
      </c>
      <c r="F131" s="2">
        <v>4000</v>
      </c>
    </row>
    <row r="132" spans="1:6" x14ac:dyDescent="0.25">
      <c r="A132" s="2">
        <v>2</v>
      </c>
      <c r="B132" s="2">
        <v>200</v>
      </c>
      <c r="C132" s="2">
        <v>400</v>
      </c>
      <c r="E132" s="2" t="s">
        <v>44</v>
      </c>
      <c r="F132" s="2">
        <v>3000</v>
      </c>
    </row>
    <row r="133" spans="1:6" x14ac:dyDescent="0.25">
      <c r="A133" s="2">
        <v>3</v>
      </c>
      <c r="B133" s="2">
        <v>300</v>
      </c>
      <c r="C133" s="2">
        <v>300</v>
      </c>
      <c r="E133" s="2" t="s">
        <v>45</v>
      </c>
      <c r="F133" s="2">
        <v>5000</v>
      </c>
    </row>
    <row r="134" spans="1:6" ht="15.75" thickBot="1" x14ac:dyDescent="0.3">
      <c r="A134" s="2">
        <v>4</v>
      </c>
      <c r="B134" s="2">
        <v>500</v>
      </c>
      <c r="C134" s="2">
        <v>300</v>
      </c>
    </row>
    <row r="135" spans="1:6" ht="15.75" thickBot="1" x14ac:dyDescent="0.3">
      <c r="A135" s="40">
        <v>5</v>
      </c>
      <c r="B135" s="40">
        <v>900</v>
      </c>
      <c r="C135" s="40">
        <v>200</v>
      </c>
      <c r="E135" s="57" t="s">
        <v>46</v>
      </c>
      <c r="F135" s="67">
        <v>0.26419999999999999</v>
      </c>
    </row>
    <row r="136" spans="1:6" ht="15.75" thickBot="1" x14ac:dyDescent="0.3">
      <c r="A136" s="57" t="s">
        <v>38</v>
      </c>
      <c r="B136" s="76">
        <f>B130 + B131/(1+0.1)^1 + B132/(1+0.1)^2 + B133/(1+0.1)^3 + B134/(1+0.1)^4 + B135/(1+0.1)^5</f>
        <v>291.01961490459507</v>
      </c>
      <c r="C136" s="77">
        <f>C130 + C131/(1+0.1)^1 + C132/(1+0.1)^2 + C133/(1+0.1)^3 + C134/(1+0.1)^4 + C135/(1+0.1)^5</f>
        <v>248.69761752488321</v>
      </c>
    </row>
    <row r="137" spans="1:6" ht="15.75" thickBot="1" x14ac:dyDescent="0.3">
      <c r="A137" s="57" t="s">
        <v>35</v>
      </c>
      <c r="B137" s="64">
        <v>815.89</v>
      </c>
      <c r="C137" s="65">
        <v>552.4</v>
      </c>
    </row>
    <row r="140" spans="1:6" x14ac:dyDescent="0.25">
      <c r="A140" s="55" t="s">
        <v>47</v>
      </c>
      <c r="B140" s="23">
        <v>0.1</v>
      </c>
    </row>
    <row r="141" spans="1:6" x14ac:dyDescent="0.25">
      <c r="A141" s="55" t="s">
        <v>48</v>
      </c>
      <c r="B141" s="23">
        <v>0.12</v>
      </c>
    </row>
    <row r="143" spans="1:6" x14ac:dyDescent="0.25">
      <c r="A143" s="55" t="s">
        <v>40</v>
      </c>
      <c r="B143" s="55" t="s">
        <v>26</v>
      </c>
    </row>
    <row r="144" spans="1:6" x14ac:dyDescent="0.25">
      <c r="A144" s="2">
        <v>0</v>
      </c>
      <c r="B144" s="2">
        <v>-1.6</v>
      </c>
    </row>
    <row r="145" spans="1:2" x14ac:dyDescent="0.25">
      <c r="A145" s="2">
        <v>1</v>
      </c>
      <c r="B145" s="2">
        <v>10</v>
      </c>
    </row>
    <row r="146" spans="1:2" x14ac:dyDescent="0.25">
      <c r="A146" s="2">
        <v>2</v>
      </c>
      <c r="B146" s="2">
        <v>-10</v>
      </c>
    </row>
    <row r="147" spans="1:2" ht="15.75" thickBot="1" x14ac:dyDescent="0.3"/>
    <row r="148" spans="1:2" ht="15.75" thickBot="1" x14ac:dyDescent="0.3">
      <c r="A148" s="57" t="s">
        <v>49</v>
      </c>
      <c r="B148" s="70" t="s">
        <v>35</v>
      </c>
    </row>
    <row r="149" spans="1:2" x14ac:dyDescent="0.25">
      <c r="A149" s="68">
        <v>0.1</v>
      </c>
      <c r="B149" s="75">
        <f>$B$144 + $B$145/(1+A149)^1 + $B$146/(1+A149)^2</f>
        <v>-0.7735537190082642</v>
      </c>
    </row>
    <row r="150" spans="1:2" x14ac:dyDescent="0.25">
      <c r="A150" s="62">
        <v>0.25</v>
      </c>
      <c r="B150" s="75">
        <f t="shared" ref="B150:B153" si="12">$B$144 + $B$145/(1+A150)^1 + $B$146/(1+A150)^2</f>
        <v>0</v>
      </c>
    </row>
    <row r="151" spans="1:2" x14ac:dyDescent="0.25">
      <c r="A151" s="62">
        <v>1.1000000000000001</v>
      </c>
      <c r="B151" s="75">
        <f t="shared" si="12"/>
        <v>0.89433106575963706</v>
      </c>
    </row>
    <row r="152" spans="1:2" x14ac:dyDescent="0.25">
      <c r="A152" s="62">
        <v>4</v>
      </c>
      <c r="B152" s="75">
        <f t="shared" si="12"/>
        <v>0</v>
      </c>
    </row>
    <row r="153" spans="1:2" ht="15.75" thickBot="1" x14ac:dyDescent="0.3">
      <c r="A153" s="63">
        <v>5</v>
      </c>
      <c r="B153" s="75">
        <f t="shared" si="12"/>
        <v>-0.21111111111111114</v>
      </c>
    </row>
    <row r="155" spans="1:2" x14ac:dyDescent="0.25">
      <c r="A155" s="55" t="s">
        <v>50</v>
      </c>
      <c r="B155" s="78">
        <f>( (B145*(1+B141)) / ABS( B144 + B146/(1+B140)^2 ) )^(1/2) - 1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Shubham Gadekar_DVVPCOE</cp:lastModifiedBy>
  <cp:lastPrinted>2026-03-04T16:06:39Z</cp:lastPrinted>
  <dcterms:created xsi:type="dcterms:W3CDTF">2023-06-15T04:20:27Z</dcterms:created>
  <dcterms:modified xsi:type="dcterms:W3CDTF">2026-03-04T16:34:58Z</dcterms:modified>
</cp:coreProperties>
</file>