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CoachX\EXCEL\PROJECT\Project 1\"/>
    </mc:Choice>
  </mc:AlternateContent>
  <xr:revisionPtr revIDLastSave="0" documentId="13_ncr:1_{34212830-6434-452A-BB30-AE9BDB80D445}" xr6:coauthVersionLast="47" xr6:coauthVersionMax="47" xr10:uidLastSave="{00000000-0000-0000-0000-000000000000}"/>
  <bookViews>
    <workbookView xWindow="-120" yWindow="-120" windowWidth="20730" windowHeight="11760" firstSheet="1" activeTab="1" xr2:uid="{00000000-000D-0000-FFFF-FFFF00000000}"/>
  </bookViews>
  <sheets>
    <sheet name="Information" sheetId="2" r:id="rId1"/>
    <sheet name="Depreciation Calculator" sheetId="1" r:id="rId2"/>
    <sheet name="Extra" sheetId="3" r:id="rId3"/>
  </sheets>
  <definedNames>
    <definedName name="DC">'Depreciation Calculator'!$A$2:$D$45</definedName>
    <definedName name="Depreciation_Calculator">'Depreciation Calculator'!$D$11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c r="B7" i="3"/>
  <c r="B8" i="3"/>
  <c r="B5" i="3"/>
  <c r="B4" i="3"/>
  <c r="B3" i="3"/>
  <c r="B2" i="3"/>
  <c r="C26" i="1"/>
  <c r="D26" i="1"/>
  <c r="D20" i="1"/>
  <c r="D23" i="1" s="1"/>
  <c r="D15" i="1"/>
  <c r="D13" i="1"/>
  <c r="D11" i="1"/>
  <c r="D8" i="1"/>
  <c r="D12" i="1" l="1"/>
  <c r="D27" i="1" l="1"/>
  <c r="D14" i="1" l="1"/>
  <c r="C27" i="1"/>
  <c r="D28" i="1" s="1"/>
  <c r="C28" i="1" l="1"/>
  <c r="D29" i="1" s="1"/>
  <c r="C29" i="1" s="1"/>
  <c r="D30" i="1" l="1"/>
  <c r="C30" i="1" s="1"/>
  <c r="D31" i="1" l="1"/>
  <c r="C31" i="1" s="1"/>
  <c r="D32" i="1" l="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sharedStrings.xml><?xml version="1.0" encoding="utf-8"?>
<sst xmlns="http://schemas.openxmlformats.org/spreadsheetml/2006/main" count="41" uniqueCount="33">
  <si>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</si>
  <si>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</si>
  <si>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</si>
  <si>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</si>
  <si>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</si>
  <si>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</si>
  <si>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</si>
  <si>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</si>
  <si>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</si>
  <si>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</si>
  <si>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</si>
  <si>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</si>
  <si>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</si>
  <si>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</si>
  <si>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</si>
  <si>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</si>
  <si>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</si>
  <si>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</si>
  <si>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</si>
  <si>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</si>
  <si>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Annual Depreciation</t>
  </si>
  <si>
    <t>Total Depreciation</t>
  </si>
  <si>
    <t>Book Value After Life</t>
  </si>
  <si>
    <t>Rate</t>
  </si>
  <si>
    <t>Book Value in 4th Year</t>
  </si>
  <si>
    <t>ADVANCE QUESTIONS</t>
  </si>
  <si>
    <t>DATA TABLE</t>
  </si>
  <si>
    <t>SLM Book Value</t>
  </si>
  <si>
    <t>DBM Book Value</t>
  </si>
  <si>
    <t>95,0</t>
  </si>
  <si>
    <t>Depreciation Comparison</t>
  </si>
  <si>
    <t>SLM Depreciation</t>
  </si>
  <si>
    <t>DBM Depreciation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</si>
</sst>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1" x14ac:knownFonts="1">
    <font>
      <sz val="11"/>
      <color theme="1"/>
      <name val="Calibri"/>
      <family val="2"/>
      <scheme val="minor"/>
    </font>
    <font>
      <sz val="14"/>
      <color theme="1"/>
      <name val="Times New Roman"/>
      <family val="1"/>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1"/>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1">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4">
    <xf numFmtId="0" fontId="0" fillId="0" borderId="0" xfId="0"/>
    <xf numFmtId="0" fontId="1" fillId="0" borderId="0" xfId="0" applyFont="1" applyAlignment="1">
      <alignment horizontal="center" vertical="center"/>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0" fontId="3" fillId="3" borderId="0" xfId="0" applyFont="1" applyFill="1" applyAlignment="1">
      <alignment horizontal="center" vertical="center"/>
    </xf>
    <xf numFmtId="10"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5" fontId="3"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5"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0" fillId="6" borderId="6" xfId="0" applyFill="1" applyBorder="1"/>
    <xf numFmtId="0" fontId="9" fillId="5" borderId="0" xfId="0" applyFont="1" applyFill="1"/>
    <xf numFmtId="0" fontId="9" fillId="5" borderId="7" xfId="0" applyFont="1" applyFill="1" applyBorder="1"/>
    <xf numFmtId="0" fontId="0" fillId="6" borderId="8" xfId="0" applyFill="1" applyBorder="1"/>
    <xf numFmtId="0" fontId="0" fillId="6" borderId="9" xfId="0" applyFill="1" applyBorder="1"/>
    <xf numFmtId="0" fontId="0" fillId="7" borderId="10" xfId="0" applyFill="1" applyBorder="1"/>
    <xf numFmtId="0" fontId="0" fillId="7" borderId="6" xfId="0" applyFill="1" applyBorder="1"/>
    <xf numFmtId="0" fontId="0" fillId="6" borderId="10" xfId="0" applyFill="1" applyBorder="1"/>
    <xf numFmtId="10" fontId="0" fillId="7" borderId="6" xfId="0" applyNumberFormat="1" applyFill="1" applyBorder="1"/>
    <xf numFmtId="0" fontId="10" fillId="0" borderId="0" xfId="0" applyFont="1" applyAlignment="1">
      <alignment horizontal="center" vertical="center" wrapText="1"/>
    </xf>
    <xf numFmtId="0" fontId="0" fillId="0" borderId="0" xfId="0" applyAlignment="1">
      <alignment vertical="center" wrapText="1"/>
    </xf>
    <xf numFmtId="4" fontId="0" fillId="0" borderId="0" xfId="0" applyNumberFormat="1" applyAlignment="1">
      <alignment vertical="center" wrapText="1"/>
    </xf>
    <xf numFmtId="0" fontId="5" fillId="2" borderId="4" xfId="0" applyFont="1" applyFill="1" applyBorder="1" applyAlignment="1">
      <alignment horizontal="right" vertical="center" indent="4"/>
    </xf>
    <xf numFmtId="0" fontId="5" fillId="2" borderId="5" xfId="0" applyFont="1" applyFill="1" applyBorder="1" applyAlignment="1">
      <alignment horizontal="right" vertical="center" indent="4"/>
    </xf>
    <xf numFmtId="0" fontId="7" fillId="2" borderId="1" xfId="0" applyFont="1" applyFill="1" applyBorder="1" applyAlignment="1">
      <alignment horizontal="center" vertical="center"/>
    </xf>
    <xf numFmtId="0" fontId="5" fillId="2" borderId="1" xfId="0" applyFont="1" applyFill="1" applyBorder="1" applyAlignment="1">
      <alignment horizontal="right" vertical="center" indent="4"/>
    </xf>
    <xf numFmtId="0" fontId="6" fillId="2" borderId="1" xfId="1" applyFont="1" applyFill="1" applyBorder="1" applyAlignment="1" applyProtection="1">
      <alignment horizontal="center" vertical="center"/>
    </xf>
    <xf numFmtId="0" fontId="4"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5" fillId="2" borderId="1" xfId="0" applyFont="1" applyFill="1" applyBorder="1" applyAlignment="1">
      <alignment horizontal="right" vertical="center" wrapText="1" indent="4"/>
    </xf>
    <xf numFmtId="0" fontId="8" fillId="2" borderId="1" xfId="0" applyFont="1" applyFill="1" applyBorder="1" applyAlignment="1">
      <alignment horizontal="center" vertical="center"/>
    </xf>
  </cellXfs>
  <cellStyles count="2">
    <cellStyle name="Hyperlink" xfId="1" builtinId="8"/>
    <cellStyle name="Normal" xfId="0" builtinId="0"/>
  </cellStyles>
  <dxfs count="8">
    <dxf>
      <numFmt numFmtId="4" formatCode="#,##0.00"/>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4" formatCode="#,##0.00"/>
      <alignment horizontal="general" vertical="center" textRotation="0" wrapText="1" indent="0" justifyLastLine="0" shrinkToFit="0" readingOrder="0"/>
    </dxf>
    <dxf>
      <numFmt numFmtId="4" formatCode="#,##0.00"/>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Book Value Trend – Diminishing Balance Method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Extra!$C$12</c:f>
              <c:strCache>
                <c:ptCount val="1"/>
                <c:pt idx="0">
                  <c:v>DBM Book Value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Extra!$C$13:$C$21</c:f>
              <c:numCache>
                <c:formatCode>#,##0.00</c:formatCode>
                <c:ptCount val="9"/>
                <c:pt idx="0">
                  <c:v>397164.12</c:v>
                </c:pt>
                <c:pt idx="1">
                  <c:v>315478.67</c:v>
                </c:pt>
                <c:pt idx="2">
                  <c:v>250593.62</c:v>
                </c:pt>
                <c:pt idx="3">
                  <c:v>199053.59</c:v>
                </c:pt>
                <c:pt idx="4">
                  <c:v>158113.88</c:v>
                </c:pt>
                <c:pt idx="5">
                  <c:v>125594.32</c:v>
                </c:pt>
                <c:pt idx="6">
                  <c:v>99763.12</c:v>
                </c:pt>
                <c:pt idx="7">
                  <c:v>79244.66</c:v>
                </c:pt>
              </c:numCache>
            </c:numRef>
          </c:val>
          <c:smooth val="0"/>
          <c:extLst>
            <c:ext xmlns:c15="http://schemas.microsoft.com/office/drawing/2012/chart" uri="{02D57815-91ED-43cb-92C2-25804820EDAC}">
              <c15:filteredCategoryTitle>
                <c15:cat>
                  <c:multiLvlStrRef>
                    <c:extLst>
                      <c:ext uri="{02D57815-91ED-43cb-92C2-25804820EDAC}">
                        <c15:formulaRef>
                          <c15:sqref>Extra!$A$13:$B$21</c15:sqref>
                        </c15:formulaRef>
                      </c:ext>
                    </c:extLst>
                    <c:multiLvlStrCache>
                      <c:ptCount val="9"/>
                      <c:lvl>
                        <c:pt idx="0">
                          <c:v>4,55,000.00</c:v>
                        </c:pt>
                        <c:pt idx="1">
                          <c:v>4,10,000.00</c:v>
                        </c:pt>
                        <c:pt idx="2">
                          <c:v>3,65,000.00</c:v>
                        </c:pt>
                        <c:pt idx="3">
                          <c:v>3,20,000.00</c:v>
                        </c:pt>
                        <c:pt idx="4">
                          <c:v>2,75,000.00</c:v>
                        </c:pt>
                        <c:pt idx="5">
                          <c:v>2,30,000.00</c:v>
                        </c:pt>
                        <c:pt idx="6">
                          <c:v>1,85,000.00</c:v>
                        </c:pt>
                        <c:pt idx="7">
                          <c:v>1,40,000.00</c:v>
                        </c:pt>
                        <c:pt idx="8">
                          <c:v>95,0</c:v>
                        </c:pt>
                      </c:lvl>
                      <c:lvl>
                        <c:pt idx="0">
                          <c:v>1</c:v>
                        </c:pt>
                        <c:pt idx="1">
                          <c:v>2</c:v>
                        </c:pt>
                        <c:pt idx="2">
                          <c:v>3</c:v>
                        </c:pt>
                        <c:pt idx="3">
                          <c:v>4</c:v>
                        </c:pt>
                        <c:pt idx="4">
                          <c:v>5</c:v>
                        </c:pt>
                        <c:pt idx="5">
                          <c:v>6</c:v>
                        </c:pt>
                        <c:pt idx="6">
                          <c:v>7</c:v>
                        </c:pt>
                        <c:pt idx="7">
                          <c:v>8</c:v>
                        </c:pt>
                        <c:pt idx="8">
                          <c:v>9</c:v>
                        </c:pt>
                      </c:lvl>
                    </c:multiLvlStrCache>
                  </c:multiLvlStrRef>
                </c15:cat>
              </c15:filteredCategoryTitle>
            </c:ext>
            <c:ext xmlns:c16="http://schemas.microsoft.com/office/drawing/2014/chart" uri="{C3380CC4-5D6E-409C-BE32-E72D297353CC}">
              <c16:uniqueId val="{00000000-1DD3-4202-8281-A2C6D8E3578E}"/>
            </c:ext>
          </c:extLst>
        </c:ser>
        <c:dLbls>
          <c:showLegendKey val="0"/>
          <c:showVal val="0"/>
          <c:showCatName val="0"/>
          <c:showSerName val="0"/>
          <c:showPercent val="0"/>
          <c:showBubbleSize val="0"/>
        </c:dLbls>
        <c:marker val="1"/>
        <c:smooth val="0"/>
        <c:axId val="551140112"/>
        <c:axId val="551137232"/>
      </c:lineChart>
      <c:catAx>
        <c:axId val="55114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37232"/>
        <c:crosses val="autoZero"/>
        <c:auto val="1"/>
        <c:lblAlgn val="ctr"/>
        <c:lblOffset val="100"/>
        <c:noMultiLvlLbl val="0"/>
      </c:catAx>
      <c:valAx>
        <c:axId val="5511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Book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4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Annual Depreciation Comparison (SLM vs DBM)</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1"/>
          <c:tx>
            <c:strRef>
              <c:f>Extra!$B$25</c:f>
              <c:strCache>
                <c:ptCount val="1"/>
                <c:pt idx="0">
                  <c:v>SLM Depreciation</c:v>
                </c:pt>
              </c:strCache>
            </c:strRef>
          </c:tx>
          <c:spPr>
            <a:solidFill>
              <a:schemeClr val="accent2"/>
            </a:solidFill>
            <a:ln>
              <a:noFill/>
            </a:ln>
            <a:effectLst/>
            <a:sp3d/>
          </c:spPr>
          <c:invertIfNegative val="0"/>
          <c:val>
            <c:numRef>
              <c:f>Extra!$B$26:$B$35</c:f>
              <c:numCache>
                <c:formatCode>#,##0.00</c:formatCode>
                <c:ptCount val="10"/>
                <c:pt idx="0">
                  <c:v>45000</c:v>
                </c:pt>
                <c:pt idx="1">
                  <c:v>45000</c:v>
                </c:pt>
                <c:pt idx="2">
                  <c:v>45000</c:v>
                </c:pt>
                <c:pt idx="3">
                  <c:v>45000</c:v>
                </c:pt>
                <c:pt idx="4">
                  <c:v>45000</c:v>
                </c:pt>
                <c:pt idx="5">
                  <c:v>45000</c:v>
                </c:pt>
                <c:pt idx="6">
                  <c:v>45000</c:v>
                </c:pt>
                <c:pt idx="7">
                  <c:v>45000</c:v>
                </c:pt>
                <c:pt idx="8">
                  <c:v>45000</c:v>
                </c:pt>
                <c:pt idx="9">
                  <c:v>45000</c:v>
                </c:pt>
              </c:numCache>
            </c:numRef>
          </c:val>
          <c:extLst>
            <c:ext xmlns:c16="http://schemas.microsoft.com/office/drawing/2014/chart" uri="{C3380CC4-5D6E-409C-BE32-E72D297353CC}">
              <c16:uniqueId val="{00000001-DEC6-4F0F-87BA-11AA67E1A5AD}"/>
            </c:ext>
          </c:extLst>
        </c:ser>
        <c:ser>
          <c:idx val="2"/>
          <c:order val="2"/>
          <c:tx>
            <c:strRef>
              <c:f>Extra!$C$25</c:f>
              <c:strCache>
                <c:ptCount val="1"/>
                <c:pt idx="0">
                  <c:v>DBM Depreciation</c:v>
                </c:pt>
              </c:strCache>
            </c:strRef>
          </c:tx>
          <c:spPr>
            <a:solidFill>
              <a:schemeClr val="accent3"/>
            </a:solidFill>
            <a:ln>
              <a:noFill/>
            </a:ln>
            <a:effectLst/>
            <a:sp3d/>
          </c:spPr>
          <c:invertIfNegative val="0"/>
          <c:val>
            <c:numRef>
              <c:f>Extra!$C$26:$C$35</c:f>
              <c:numCache>
                <c:formatCode>#,##0.00</c:formatCode>
                <c:ptCount val="10"/>
                <c:pt idx="0">
                  <c:v>102835.88</c:v>
                </c:pt>
                <c:pt idx="1">
                  <c:v>81685.45</c:v>
                </c:pt>
                <c:pt idx="2">
                  <c:v>64885.06</c:v>
                </c:pt>
                <c:pt idx="3">
                  <c:v>51540.03</c:v>
                </c:pt>
                <c:pt idx="4">
                  <c:v>40939.699999999997</c:v>
                </c:pt>
                <c:pt idx="5">
                  <c:v>32519.56</c:v>
                </c:pt>
                <c:pt idx="6">
                  <c:v>25831.21</c:v>
                </c:pt>
                <c:pt idx="7">
                  <c:v>20518.46</c:v>
                </c:pt>
                <c:pt idx="8">
                  <c:v>16298.39</c:v>
                </c:pt>
                <c:pt idx="9">
                  <c:v>12946.27</c:v>
                </c:pt>
              </c:numCache>
            </c:numRef>
          </c:val>
          <c:extLst>
            <c:ext xmlns:c16="http://schemas.microsoft.com/office/drawing/2014/chart" uri="{C3380CC4-5D6E-409C-BE32-E72D297353CC}">
              <c16:uniqueId val="{00000002-DEC6-4F0F-87BA-11AA67E1A5AD}"/>
            </c:ext>
          </c:extLst>
        </c:ser>
        <c:dLbls>
          <c:showLegendKey val="0"/>
          <c:showVal val="0"/>
          <c:showCatName val="0"/>
          <c:showSerName val="0"/>
          <c:showPercent val="0"/>
          <c:showBubbleSize val="0"/>
        </c:dLbls>
        <c:gapWidth val="150"/>
        <c:shape val="box"/>
        <c:axId val="562734840"/>
        <c:axId val="562734480"/>
        <c:axId val="0"/>
        <c:extLst>
          <c:ext xmlns:c15="http://schemas.microsoft.com/office/drawing/2012/chart" uri="{02D57815-91ED-43cb-92C2-25804820EDAC}">
            <c15:filteredBarSeries>
              <c15:ser>
                <c:idx val="0"/>
                <c:order val="0"/>
                <c:tx>
                  <c:strRef>
                    <c:extLst>
                      <c:ext uri="{02D57815-91ED-43cb-92C2-25804820EDAC}">
                        <c15:formulaRef>
                          <c15:sqref>Extra!$A$25</c15:sqref>
                        </c15:formulaRef>
                      </c:ext>
                    </c:extLst>
                    <c:strCache>
                      <c:ptCount val="1"/>
                      <c:pt idx="0">
                        <c:v>Year</c:v>
                      </c:pt>
                    </c:strCache>
                  </c:strRef>
                </c:tx>
                <c:spPr>
                  <a:solidFill>
                    <a:schemeClr val="accent1"/>
                  </a:solidFill>
                  <a:ln>
                    <a:noFill/>
                  </a:ln>
                  <a:effectLst/>
                  <a:sp3d/>
                </c:spPr>
                <c:invertIfNegative val="0"/>
                <c:val>
                  <c:numRef>
                    <c:extLst>
                      <c:ext uri="{02D57815-91ED-43cb-92C2-25804820EDAC}">
                        <c15:formulaRef>
                          <c15:sqref>Extra!$A$26:$A$35</c15:sqref>
                        </c15:formulaRef>
                      </c:ext>
                    </c:extLst>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DEC6-4F0F-87BA-11AA67E1A5AD}"/>
                  </c:ext>
                </c:extLst>
              </c15:ser>
            </c15:filteredBarSeries>
          </c:ext>
        </c:extLst>
      </c:bar3DChart>
      <c:catAx>
        <c:axId val="5627348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34480"/>
        <c:crosses val="autoZero"/>
        <c:auto val="1"/>
        <c:lblAlgn val="ctr"/>
        <c:lblOffset val="100"/>
        <c:noMultiLvlLbl val="0"/>
      </c:catAx>
      <c:valAx>
        <c:axId val="562734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3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228599</xdr:colOff>
      <xdr:row>6</xdr:row>
      <xdr:rowOff>114300</xdr:rowOff>
    </xdr:from>
    <xdr:to>
      <xdr:col>12</xdr:col>
      <xdr:colOff>304800</xdr:colOff>
      <xdr:row>20</xdr:row>
      <xdr:rowOff>152400</xdr:rowOff>
    </xdr:to>
    <xdr:graphicFrame macro="">
      <xdr:nvGraphicFramePr>
        <xdr:cNvPr id="2" name="Chart 1">
          <a:extLst>
            <a:ext uri="{FF2B5EF4-FFF2-40B4-BE49-F238E27FC236}">
              <a16:creationId xmlns:a16="http://schemas.microsoft.com/office/drawing/2014/main" id="{0FD9D1A1-9D15-D05F-EA2F-0FEE82AB2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23</xdr:row>
      <xdr:rowOff>85725</xdr:rowOff>
    </xdr:from>
    <xdr:to>
      <xdr:col>11</xdr:col>
      <xdr:colOff>447675</xdr:colOff>
      <xdr:row>36</xdr:row>
      <xdr:rowOff>161925</xdr:rowOff>
    </xdr:to>
    <xdr:graphicFrame macro="">
      <xdr:nvGraphicFramePr>
        <xdr:cNvPr id="3" name="Chart 2">
          <a:extLst>
            <a:ext uri="{FF2B5EF4-FFF2-40B4-BE49-F238E27FC236}">
              <a16:creationId xmlns:a16="http://schemas.microsoft.com/office/drawing/2014/main" id="{17D3D6B2-AB96-5E87-54E6-34DFF2187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45C511-EED5-44F4-A547-8955D796BED5}" name="Table2" displayName="Table2" ref="A12:C21" totalsRowShown="0" headerRowDxfId="7">
  <autoFilter ref="A12:C21" xr:uid="{2045C511-EED5-44F4-A547-8955D796BED5}"/>
  <tableColumns count="3">
    <tableColumn id="1" xr3:uid="{EC8FD59D-5C06-48F4-A3FF-FCD70480A49E}" name="Year" dataDxfId="6"/>
    <tableColumn id="2" xr3:uid="{C7ADA331-B5D1-49B1-BC8C-93389F9900B4}" name="SLM Book Value" dataDxfId="5"/>
    <tableColumn id="3" xr3:uid="{C9A36C1C-A5ED-4285-9A36-E0954F91E49F}" name="DBM Book Value" dataDxfId="4"/>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CB8141-0A10-45AA-A5FC-68BCCDB675B6}" name="Table3" displayName="Table3" ref="A25:C35" totalsRowShown="0" headerRowDxfId="3">
  <autoFilter ref="A25:C35" xr:uid="{35CB8141-0A10-45AA-A5FC-68BCCDB675B6}"/>
  <tableColumns count="3">
    <tableColumn id="1" xr3:uid="{27087B53-E9DE-4CED-B467-78E042EA2185}" name="Year" dataDxfId="2"/>
    <tableColumn id="2" xr3:uid="{71DEB599-30F5-469C-87A7-463B3312A718}" name="SLM Depreciation" dataDxfId="1"/>
    <tableColumn id="3" xr3:uid="{2973AA8D-A8F3-4C93-9B93-1E5813D8665E}" name="DBM Depreciation" dataDxfId="0"/>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55" zoomScaleNormal="55" workbookViewId="0">
      <selection activeCell="AB19" sqref="AB19"/>
    </sheetView>
  </sheetViews>
  <sheetFormatPr defaultRowHeight="15" x14ac:dyDescent="0.25"/>
  <cols>
    <col min="1" max="1" width="9.1406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topLeftCell="A22" zoomScale="70" zoomScaleNormal="70" workbookViewId="0">
      <selection activeCell="I8" sqref="I8"/>
    </sheetView>
  </sheetViews>
  <sheetFormatPr defaultColWidth="8.7109375" defaultRowHeight="18.75" x14ac:dyDescent="0.25"/>
  <cols>
    <col min="1" max="1" width="3.140625" style="1" customWidth="1"/>
    <col min="2" max="2" width="12.5703125" style="1" customWidth="1"/>
    <col min="3" max="3" width="79.85546875" style="1" customWidth="1"/>
    <col min="4" max="4" width="19.140625" style="1" bestFit="1" customWidth="1"/>
    <col min="5" max="5" width="3.28515625" style="1" customWidth="1"/>
    <col min="6" max="6" width="8.7109375" style="1"/>
    <col min="7" max="7" width="9" style="1" bestFit="1" customWidth="1"/>
    <col min="8" max="16384" width="8.7109375" style="1"/>
  </cols>
  <sheetData>
    <row r="1" spans="1:5" ht="9.9499999999999993" customHeight="1" thickBot="1" x14ac:dyDescent="0.3">
      <c r="A1" s="9"/>
      <c r="B1" s="9"/>
      <c r="C1" s="9"/>
      <c r="D1" s="9"/>
      <c r="E1" s="9"/>
    </row>
    <row r="2" spans="1:5" ht="36.75" thickTop="1" thickBot="1" x14ac:dyDescent="0.3">
      <c r="A2" s="9"/>
      <c r="B2" s="30"/>
      <c r="C2" s="28" t="s">
        <v>19</v>
      </c>
      <c r="D2" s="28"/>
      <c r="E2" s="9"/>
    </row>
    <row r="3" spans="1:5" ht="27" thickTop="1" thickBot="1" x14ac:dyDescent="0.3">
      <c r="A3" s="9"/>
      <c r="B3" s="31"/>
      <c r="C3" s="29" t="s">
        <v>8</v>
      </c>
      <c r="D3" s="29"/>
      <c r="E3" s="9"/>
    </row>
    <row r="4" spans="1:5" ht="20.25" thickTop="1" thickBot="1" x14ac:dyDescent="0.3">
      <c r="A4" s="9"/>
      <c r="B4" s="5"/>
      <c r="C4" s="5"/>
      <c r="D4" s="5"/>
      <c r="E4" s="9"/>
    </row>
    <row r="5" spans="1:5" ht="27" thickTop="1" thickBot="1" x14ac:dyDescent="0.3">
      <c r="A5" s="9"/>
      <c r="B5" s="26" t="s">
        <v>17</v>
      </c>
      <c r="C5" s="26"/>
      <c r="D5" s="26"/>
      <c r="E5" s="9"/>
    </row>
    <row r="6" spans="1:5" ht="20.25" thickTop="1" thickBot="1" x14ac:dyDescent="0.3">
      <c r="A6" s="9"/>
      <c r="B6" s="24" t="s">
        <v>11</v>
      </c>
      <c r="C6" s="25"/>
      <c r="D6" s="10">
        <v>450000</v>
      </c>
      <c r="E6" s="9"/>
    </row>
    <row r="7" spans="1:5" ht="20.25" thickTop="1" thickBot="1" x14ac:dyDescent="0.3">
      <c r="A7" s="9"/>
      <c r="B7" s="24" t="s">
        <v>13</v>
      </c>
      <c r="C7" s="25"/>
      <c r="D7" s="10">
        <v>50000</v>
      </c>
      <c r="E7" s="9"/>
    </row>
    <row r="8" spans="1:5" ht="20.25" thickTop="1" thickBot="1" x14ac:dyDescent="0.3">
      <c r="A8" s="9"/>
      <c r="B8" s="24" t="s">
        <v>0</v>
      </c>
      <c r="C8" s="25"/>
      <c r="D8" s="4">
        <f>SUM(D6:D7)</f>
        <v>500000</v>
      </c>
      <c r="E8" s="9"/>
    </row>
    <row r="9" spans="1:5" ht="20.25" thickTop="1" thickBot="1" x14ac:dyDescent="0.3">
      <c r="A9" s="9"/>
      <c r="B9" s="24" t="s">
        <v>1</v>
      </c>
      <c r="C9" s="25"/>
      <c r="D9" s="10">
        <v>50000</v>
      </c>
      <c r="E9" s="9"/>
    </row>
    <row r="10" spans="1:5" ht="20.25" thickTop="1" thickBot="1" x14ac:dyDescent="0.3">
      <c r="A10" s="9"/>
      <c r="B10" s="24" t="s">
        <v>2</v>
      </c>
      <c r="C10" s="25"/>
      <c r="D10" s="11">
        <v>10</v>
      </c>
      <c r="E10" s="9"/>
    </row>
    <row r="11" spans="1:5" ht="20.25" thickTop="1" thickBot="1" x14ac:dyDescent="0.3">
      <c r="A11" s="9"/>
      <c r="B11" s="27" t="s">
        <v>9</v>
      </c>
      <c r="C11" s="27"/>
      <c r="D11" s="4">
        <f>IF(D8="", "", SLN($D$8,$D$9,$D$10))</f>
        <v>45000</v>
      </c>
      <c r="E11" s="9"/>
    </row>
    <row r="12" spans="1:5" ht="20.25" thickTop="1" thickBot="1" x14ac:dyDescent="0.3">
      <c r="A12" s="9"/>
      <c r="B12" s="27" t="s">
        <v>12</v>
      </c>
      <c r="C12" s="27"/>
      <c r="D12" s="6">
        <f>IFERROR(D11/D8,"")</f>
        <v>0.09</v>
      </c>
      <c r="E12" s="9"/>
    </row>
    <row r="13" spans="1:5" ht="20.25" thickTop="1" thickBot="1" x14ac:dyDescent="0.3">
      <c r="A13" s="9"/>
      <c r="B13" s="24" t="s">
        <v>5</v>
      </c>
      <c r="C13" s="25"/>
      <c r="D13" s="3">
        <f>IF(D8="", "", D11*D10)</f>
        <v>450000</v>
      </c>
      <c r="E13" s="9"/>
    </row>
    <row r="14" spans="1:5" ht="20.25" thickTop="1" thickBot="1" x14ac:dyDescent="0.3">
      <c r="A14" s="9"/>
      <c r="B14" s="24" t="s">
        <v>4</v>
      </c>
      <c r="C14" s="25"/>
      <c r="D14" s="3">
        <f>IF(D8="", "", D8-D13)</f>
        <v>50000</v>
      </c>
      <c r="E14" s="9"/>
    </row>
    <row r="15" spans="1:5" ht="20.25" thickTop="1" thickBot="1" x14ac:dyDescent="0.3">
      <c r="A15" s="9"/>
      <c r="B15" s="24" t="s">
        <v>6</v>
      </c>
      <c r="C15" s="25"/>
      <c r="D15" s="3">
        <f>IF(D8="", "", D8-D13-D9)</f>
        <v>0</v>
      </c>
      <c r="E15" s="9"/>
    </row>
    <row r="16" spans="1:5" ht="20.25" thickTop="1" thickBot="1" x14ac:dyDescent="0.3">
      <c r="A16" s="9"/>
      <c r="B16" s="5"/>
      <c r="C16" s="5"/>
      <c r="D16" s="5"/>
      <c r="E16" s="9"/>
    </row>
    <row r="17" spans="1:5" ht="27" thickTop="1" thickBot="1" x14ac:dyDescent="0.3">
      <c r="A17" s="9"/>
      <c r="B17" s="26" t="s">
        <v>16</v>
      </c>
      <c r="C17" s="26"/>
      <c r="D17" s="26"/>
      <c r="E17" s="9"/>
    </row>
    <row r="18" spans="1:5" ht="18.95" customHeight="1" thickTop="1" thickBot="1" x14ac:dyDescent="0.3">
      <c r="A18" s="9"/>
      <c r="B18" s="27" t="s">
        <v>11</v>
      </c>
      <c r="C18" s="27"/>
      <c r="D18" s="10">
        <v>450000</v>
      </c>
      <c r="E18" s="9"/>
    </row>
    <row r="19" spans="1:5" ht="18.95" customHeight="1" thickTop="1" thickBot="1" x14ac:dyDescent="0.3">
      <c r="A19" s="9"/>
      <c r="B19" s="27" t="s">
        <v>14</v>
      </c>
      <c r="C19" s="27"/>
      <c r="D19" s="10">
        <v>50000</v>
      </c>
      <c r="E19" s="9"/>
    </row>
    <row r="20" spans="1:5" ht="18.95" customHeight="1" thickTop="1" thickBot="1" x14ac:dyDescent="0.3">
      <c r="A20" s="9"/>
      <c r="B20" s="27" t="s">
        <v>0</v>
      </c>
      <c r="C20" s="27"/>
      <c r="D20" s="4">
        <f>D8</f>
        <v>500000</v>
      </c>
      <c r="E20" s="9"/>
    </row>
    <row r="21" spans="1:5" ht="18.95" customHeight="1" thickTop="1" thickBot="1" x14ac:dyDescent="0.3">
      <c r="A21" s="9"/>
      <c r="B21" s="27" t="s">
        <v>1</v>
      </c>
      <c r="C21" s="27"/>
      <c r="D21" s="10">
        <v>50000</v>
      </c>
      <c r="E21" s="9"/>
    </row>
    <row r="22" spans="1:5" ht="18.95" customHeight="1" thickTop="1" thickBot="1" x14ac:dyDescent="0.3">
      <c r="A22" s="9"/>
      <c r="B22" s="27" t="s">
        <v>2</v>
      </c>
      <c r="C22" s="27"/>
      <c r="D22" s="11">
        <v>10</v>
      </c>
      <c r="E22" s="9"/>
    </row>
    <row r="23" spans="1:5" ht="18.95" customHeight="1" thickTop="1" thickBot="1" x14ac:dyDescent="0.3">
      <c r="A23" s="9"/>
      <c r="B23" s="32" t="s">
        <v>10</v>
      </c>
      <c r="C23" s="32"/>
      <c r="D23" s="6">
        <f>IF(D20="","",1-(D21/D20)^(1/D22))</f>
        <v>0.20567176527571851</v>
      </c>
      <c r="E23" s="9"/>
    </row>
    <row r="24" spans="1:5" ht="24" thickTop="1" thickBot="1" x14ac:dyDescent="0.3">
      <c r="A24" s="9"/>
      <c r="B24" s="33" t="s">
        <v>15</v>
      </c>
      <c r="C24" s="33"/>
      <c r="D24" s="33"/>
      <c r="E24" s="9"/>
    </row>
    <row r="25" spans="1:5" ht="20.25" thickTop="1" thickBot="1" x14ac:dyDescent="0.3">
      <c r="A25" s="9"/>
      <c r="B25" s="7" t="s">
        <v>7</v>
      </c>
      <c r="C25" s="7" t="s">
        <v>18</v>
      </c>
      <c r="D25" s="7" t="s">
        <v>3</v>
      </c>
      <c r="E25" s="9"/>
    </row>
    <row r="26" spans="1:5" ht="20.25" thickTop="1" thickBot="1" x14ac:dyDescent="0.3">
      <c r="A26" s="9"/>
      <c r="B26" s="2">
        <v>1</v>
      </c>
      <c r="C26" s="8">
        <f xml:space="preserve"> D26* $D$23</f>
        <v>102835.88263785925</v>
      </c>
      <c r="D26" s="8">
        <f>D20</f>
        <v>500000</v>
      </c>
      <c r="E26" s="9"/>
    </row>
    <row r="27" spans="1:5" ht="20.25" thickTop="1" thickBot="1" x14ac:dyDescent="0.3">
      <c r="A27" s="9"/>
      <c r="B27" s="2">
        <v>2</v>
      </c>
      <c r="C27" s="8">
        <f t="shared" ref="C27:C45" si="0">IFERROR(IF(D27&gt;$D$21, (D27*$D$23), ""),"")</f>
        <v>81685.445122044126</v>
      </c>
      <c r="D27" s="8">
        <f t="shared" ref="D27:D45" si="1">IFERROR(D26-C26, "")</f>
        <v>397164.11736214074</v>
      </c>
      <c r="E27" s="9"/>
    </row>
    <row r="28" spans="1:5" ht="20.25" thickTop="1" thickBot="1" x14ac:dyDescent="0.3">
      <c r="A28" s="9"/>
      <c r="B28" s="2">
        <v>3</v>
      </c>
      <c r="C28" s="8">
        <f t="shared" si="0"/>
        <v>64885.05542646048</v>
      </c>
      <c r="D28" s="8">
        <f t="shared" si="1"/>
        <v>315478.67224009661</v>
      </c>
      <c r="E28" s="9"/>
    </row>
    <row r="29" spans="1:5" ht="20.25" thickTop="1" thickBot="1" x14ac:dyDescent="0.3">
      <c r="A29" s="9"/>
      <c r="B29" s="2">
        <v>4</v>
      </c>
      <c r="C29" s="8">
        <f t="shared" si="0"/>
        <v>51540.031536887516</v>
      </c>
      <c r="D29" s="8">
        <f t="shared" si="1"/>
        <v>250593.61681363612</v>
      </c>
      <c r="E29" s="9"/>
    </row>
    <row r="30" spans="1:5" ht="20.25" thickTop="1" thickBot="1" x14ac:dyDescent="0.3">
      <c r="A30" s="9"/>
      <c r="B30" s="2">
        <v>5</v>
      </c>
      <c r="C30" s="8">
        <f t="shared" si="0"/>
        <v>40939.70226832966</v>
      </c>
      <c r="D30" s="8">
        <f t="shared" si="1"/>
        <v>199053.58527674861</v>
      </c>
      <c r="E30" s="9"/>
    </row>
    <row r="31" spans="1:5" ht="20.25" thickTop="1" thickBot="1" x14ac:dyDescent="0.3">
      <c r="A31" s="9"/>
      <c r="B31" s="2">
        <v>6</v>
      </c>
      <c r="C31" s="8">
        <f t="shared" si="0"/>
        <v>32519.561432939961</v>
      </c>
      <c r="D31" s="8">
        <f t="shared" si="1"/>
        <v>158113.88300841895</v>
      </c>
      <c r="E31" s="9"/>
    </row>
    <row r="32" spans="1:5" ht="20.25" thickTop="1" thickBot="1" x14ac:dyDescent="0.3">
      <c r="A32" s="9"/>
      <c r="B32" s="2">
        <v>7</v>
      </c>
      <c r="C32" s="8">
        <f t="shared" si="0"/>
        <v>25831.205827035024</v>
      </c>
      <c r="D32" s="8">
        <f t="shared" si="1"/>
        <v>125594.321575479</v>
      </c>
      <c r="E32" s="9"/>
    </row>
    <row r="33" spans="1:5" ht="20.25" thickTop="1" thickBot="1" x14ac:dyDescent="0.3">
      <c r="A33" s="9"/>
      <c r="B33" s="2">
        <v>8</v>
      </c>
      <c r="C33" s="8">
        <f t="shared" si="0"/>
        <v>20518.456125388308</v>
      </c>
      <c r="D33" s="8">
        <f t="shared" si="1"/>
        <v>99763.115748443975</v>
      </c>
      <c r="E33" s="9"/>
    </row>
    <row r="34" spans="1:5" ht="20.25" thickTop="1" thickBot="1" x14ac:dyDescent="0.3">
      <c r="A34" s="9"/>
      <c r="B34" s="2">
        <v>9</v>
      </c>
      <c r="C34" s="8">
        <f t="shared" si="0"/>
        <v>16298.389033347312</v>
      </c>
      <c r="D34" s="8">
        <f t="shared" si="1"/>
        <v>79244.659623055661</v>
      </c>
      <c r="E34" s="9"/>
    </row>
    <row r="35" spans="1:5" ht="20.25" thickTop="1" thickBot="1" x14ac:dyDescent="0.3">
      <c r="A35" s="9"/>
      <c r="B35" s="2">
        <v>10</v>
      </c>
      <c r="C35" s="8">
        <f t="shared" si="0"/>
        <v>12946.27058970836</v>
      </c>
      <c r="D35" s="8">
        <f t="shared" si="1"/>
        <v>62946.270589708351</v>
      </c>
      <c r="E35" s="9"/>
    </row>
    <row r="36" spans="1:5" ht="20.25" thickTop="1" thickBot="1" x14ac:dyDescent="0.3">
      <c r="A36" s="9"/>
      <c r="B36" s="2">
        <v>11</v>
      </c>
      <c r="C36" s="8" t="str">
        <f t="shared" si="0"/>
        <v/>
      </c>
      <c r="D36" s="8">
        <f t="shared" si="1"/>
        <v>49999.999999999993</v>
      </c>
      <c r="E36" s="9"/>
    </row>
    <row r="37" spans="1:5" ht="20.25" thickTop="1" thickBot="1" x14ac:dyDescent="0.3">
      <c r="A37" s="9"/>
      <c r="B37" s="2"/>
      <c r="C37" s="8" t="str">
        <f t="shared" si="0"/>
        <v/>
      </c>
      <c r="D37" s="8" t="str">
        <f t="shared" si="1"/>
        <v/>
      </c>
      <c r="E37" s="9"/>
    </row>
    <row r="38" spans="1:5" ht="20.25" thickTop="1" thickBot="1" x14ac:dyDescent="0.3">
      <c r="A38" s="9"/>
      <c r="B38" s="2"/>
      <c r="C38" s="8" t="str">
        <f t="shared" si="0"/>
        <v/>
      </c>
      <c r="D38" s="8" t="str">
        <f t="shared" si="1"/>
        <v/>
      </c>
      <c r="E38" s="9"/>
    </row>
    <row r="39" spans="1:5" ht="20.25" thickTop="1" thickBot="1" x14ac:dyDescent="0.3">
      <c r="A39" s="9"/>
      <c r="B39" s="2"/>
      <c r="C39" s="8" t="str">
        <f t="shared" si="0"/>
        <v/>
      </c>
      <c r="D39" s="8" t="str">
        <f t="shared" si="1"/>
        <v/>
      </c>
      <c r="E39" s="9"/>
    </row>
    <row r="40" spans="1:5" ht="20.25" thickTop="1" thickBot="1" x14ac:dyDescent="0.3">
      <c r="A40" s="9"/>
      <c r="B40" s="2"/>
      <c r="C40" s="8" t="str">
        <f t="shared" si="0"/>
        <v/>
      </c>
      <c r="D40" s="8" t="str">
        <f t="shared" si="1"/>
        <v/>
      </c>
      <c r="E40" s="9"/>
    </row>
    <row r="41" spans="1:5" ht="20.25" thickTop="1" thickBot="1" x14ac:dyDescent="0.3">
      <c r="A41" s="9"/>
      <c r="B41" s="2"/>
      <c r="C41" s="8" t="str">
        <f t="shared" si="0"/>
        <v/>
      </c>
      <c r="D41" s="8" t="str">
        <f t="shared" si="1"/>
        <v/>
      </c>
      <c r="E41" s="9"/>
    </row>
    <row r="42" spans="1:5" ht="20.25" thickTop="1" thickBot="1" x14ac:dyDescent="0.3">
      <c r="A42" s="9"/>
      <c r="B42" s="2"/>
      <c r="C42" s="8" t="str">
        <f t="shared" si="0"/>
        <v/>
      </c>
      <c r="D42" s="8" t="str">
        <f t="shared" si="1"/>
        <v/>
      </c>
      <c r="E42" s="9"/>
    </row>
    <row r="43" spans="1:5" ht="20.25" thickTop="1" thickBot="1" x14ac:dyDescent="0.3">
      <c r="A43" s="9"/>
      <c r="B43" s="2"/>
      <c r="C43" s="8" t="str">
        <f t="shared" si="0"/>
        <v/>
      </c>
      <c r="D43" s="8" t="str">
        <f t="shared" si="1"/>
        <v/>
      </c>
      <c r="E43" s="9"/>
    </row>
    <row r="44" spans="1:5" ht="20.25" thickTop="1" thickBot="1" x14ac:dyDescent="0.3">
      <c r="A44" s="9"/>
      <c r="B44" s="2"/>
      <c r="C44" s="8" t="str">
        <f t="shared" si="0"/>
        <v/>
      </c>
      <c r="D44" s="8" t="str">
        <f t="shared" si="1"/>
        <v/>
      </c>
      <c r="E44" s="9"/>
    </row>
    <row r="45" spans="1:5" ht="20.25" thickTop="1" thickBot="1" x14ac:dyDescent="0.3">
      <c r="A45" s="9"/>
      <c r="B45" s="2"/>
      <c r="C45" s="8" t="str">
        <f t="shared" si="0"/>
        <v/>
      </c>
      <c r="D45" s="8" t="str">
        <f t="shared" si="1"/>
        <v/>
      </c>
      <c r="E45" s="9"/>
    </row>
    <row r="46" spans="1:5" ht="19.5" thickTop="1" x14ac:dyDescent="0.25">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CD7C-F123-49E0-9844-3651BFE051F9}">
  <dimension ref="A1:C35"/>
  <sheetViews>
    <sheetView topLeftCell="A17" zoomScale="115" zoomScaleNormal="115" workbookViewId="0">
      <selection activeCell="O11" sqref="O11"/>
    </sheetView>
  </sheetViews>
  <sheetFormatPr defaultRowHeight="15" x14ac:dyDescent="0.25"/>
  <cols>
    <col min="1" max="1" width="22.5703125" customWidth="1"/>
    <col min="2" max="2" width="18.7109375" customWidth="1"/>
    <col min="3" max="3" width="19.28515625" customWidth="1"/>
  </cols>
  <sheetData>
    <row r="1" spans="1:3" ht="15.75" thickBot="1" x14ac:dyDescent="0.3">
      <c r="A1" s="13" t="s">
        <v>25</v>
      </c>
      <c r="B1" s="14"/>
    </row>
    <row r="2" spans="1:3" ht="15.75" thickTop="1" x14ac:dyDescent="0.25">
      <c r="A2" s="15" t="s">
        <v>20</v>
      </c>
      <c r="B2" s="16">
        <f>'Depreciation Calculator'!D11</f>
        <v>45000</v>
      </c>
    </row>
    <row r="3" spans="1:3" x14ac:dyDescent="0.25">
      <c r="A3" s="17" t="s">
        <v>21</v>
      </c>
      <c r="B3" s="18">
        <f>'Depreciation Calculator'!D13</f>
        <v>450000</v>
      </c>
    </row>
    <row r="4" spans="1:3" x14ac:dyDescent="0.25">
      <c r="A4" s="19" t="s">
        <v>22</v>
      </c>
      <c r="B4" s="12">
        <f>'Depreciation Calculator'!D14</f>
        <v>50000</v>
      </c>
    </row>
    <row r="5" spans="1:3" x14ac:dyDescent="0.25">
      <c r="A5" s="17" t="s">
        <v>23</v>
      </c>
      <c r="B5" s="20">
        <f>'Depreciation Calculator'!D23</f>
        <v>0.20567176527571851</v>
      </c>
    </row>
    <row r="6" spans="1:3" x14ac:dyDescent="0.25">
      <c r="A6" s="19" t="s">
        <v>24</v>
      </c>
      <c r="B6" s="12">
        <f>'Depreciation Calculator'!D28</f>
        <v>315478.67224009661</v>
      </c>
    </row>
    <row r="7" spans="1:3" x14ac:dyDescent="0.25">
      <c r="A7" s="17" t="s">
        <v>21</v>
      </c>
      <c r="B7" s="18">
        <f>'Depreciation Calculator'!D20 - 'Depreciation Calculator'!D21</f>
        <v>450000</v>
      </c>
    </row>
    <row r="8" spans="1:3" x14ac:dyDescent="0.25">
      <c r="A8" s="19" t="s">
        <v>22</v>
      </c>
      <c r="B8" s="12">
        <f>'Depreciation Calculator'!D21</f>
        <v>50000</v>
      </c>
    </row>
    <row r="11" spans="1:3" x14ac:dyDescent="0.25">
      <c r="A11" t="s">
        <v>26</v>
      </c>
    </row>
    <row r="12" spans="1:3" ht="45" x14ac:dyDescent="0.25">
      <c r="A12" s="21" t="s">
        <v>7</v>
      </c>
      <c r="B12" s="21" t="s">
        <v>27</v>
      </c>
      <c r="C12" s="21" t="s">
        <v>28</v>
      </c>
    </row>
    <row r="13" spans="1:3" x14ac:dyDescent="0.25">
      <c r="A13" s="22">
        <v>1</v>
      </c>
      <c r="B13" s="23">
        <v>455000</v>
      </c>
      <c r="C13" s="23">
        <v>397164.12</v>
      </c>
    </row>
    <row r="14" spans="1:3" x14ac:dyDescent="0.25">
      <c r="A14" s="22">
        <v>2</v>
      </c>
      <c r="B14" s="23">
        <v>410000</v>
      </c>
      <c r="C14" s="23">
        <v>315478.67</v>
      </c>
    </row>
    <row r="15" spans="1:3" x14ac:dyDescent="0.25">
      <c r="A15" s="22">
        <v>3</v>
      </c>
      <c r="B15" s="23">
        <v>365000</v>
      </c>
      <c r="C15" s="23">
        <v>250593.62</v>
      </c>
    </row>
    <row r="16" spans="1:3" x14ac:dyDescent="0.25">
      <c r="A16" s="22">
        <v>4</v>
      </c>
      <c r="B16" s="23">
        <v>320000</v>
      </c>
      <c r="C16" s="23">
        <v>199053.59</v>
      </c>
    </row>
    <row r="17" spans="1:3" x14ac:dyDescent="0.25">
      <c r="A17" s="22">
        <v>5</v>
      </c>
      <c r="B17" s="23">
        <v>275000</v>
      </c>
      <c r="C17" s="23">
        <v>158113.88</v>
      </c>
    </row>
    <row r="18" spans="1:3" x14ac:dyDescent="0.25">
      <c r="A18" s="22">
        <v>6</v>
      </c>
      <c r="B18" s="23">
        <v>230000</v>
      </c>
      <c r="C18" s="23">
        <v>125594.32</v>
      </c>
    </row>
    <row r="19" spans="1:3" x14ac:dyDescent="0.25">
      <c r="A19" s="22">
        <v>7</v>
      </c>
      <c r="B19" s="23">
        <v>185000</v>
      </c>
      <c r="C19" s="23">
        <v>99763.12</v>
      </c>
    </row>
    <row r="20" spans="1:3" x14ac:dyDescent="0.25">
      <c r="A20" s="22">
        <v>8</v>
      </c>
      <c r="B20" s="23">
        <v>140000</v>
      </c>
      <c r="C20" s="23">
        <v>79244.66</v>
      </c>
    </row>
    <row r="21" spans="1:3" x14ac:dyDescent="0.25">
      <c r="A21" s="22">
        <v>9</v>
      </c>
      <c r="B21" s="22" t="s">
        <v>29</v>
      </c>
      <c r="C21" s="22"/>
    </row>
    <row r="24" spans="1:3" x14ac:dyDescent="0.25">
      <c r="A24" t="s">
        <v>30</v>
      </c>
    </row>
    <row r="25" spans="1:3" ht="30" x14ac:dyDescent="0.25">
      <c r="A25" s="21" t="s">
        <v>7</v>
      </c>
      <c r="B25" s="21" t="s">
        <v>31</v>
      </c>
      <c r="C25" s="21" t="s">
        <v>32</v>
      </c>
    </row>
    <row r="26" spans="1:3" x14ac:dyDescent="0.25">
      <c r="A26" s="22">
        <v>1</v>
      </c>
      <c r="B26" s="23">
        <v>45000</v>
      </c>
      <c r="C26" s="23">
        <v>102835.88</v>
      </c>
    </row>
    <row r="27" spans="1:3" x14ac:dyDescent="0.25">
      <c r="A27" s="22">
        <v>2</v>
      </c>
      <c r="B27" s="23">
        <v>45000</v>
      </c>
      <c r="C27" s="23">
        <v>81685.45</v>
      </c>
    </row>
    <row r="28" spans="1:3" x14ac:dyDescent="0.25">
      <c r="A28" s="22">
        <v>3</v>
      </c>
      <c r="B28" s="23">
        <v>45000</v>
      </c>
      <c r="C28" s="23">
        <v>64885.06</v>
      </c>
    </row>
    <row r="29" spans="1:3" x14ac:dyDescent="0.25">
      <c r="A29" s="22">
        <v>4</v>
      </c>
      <c r="B29" s="23">
        <v>45000</v>
      </c>
      <c r="C29" s="23">
        <v>51540.03</v>
      </c>
    </row>
    <row r="30" spans="1:3" x14ac:dyDescent="0.25">
      <c r="A30" s="22">
        <v>5</v>
      </c>
      <c r="B30" s="23">
        <v>45000</v>
      </c>
      <c r="C30" s="23">
        <v>40939.699999999997</v>
      </c>
    </row>
    <row r="31" spans="1:3" x14ac:dyDescent="0.25">
      <c r="A31" s="22">
        <v>6</v>
      </c>
      <c r="B31" s="23">
        <v>45000</v>
      </c>
      <c r="C31" s="23">
        <v>32519.56</v>
      </c>
    </row>
    <row r="32" spans="1:3" x14ac:dyDescent="0.25">
      <c r="A32" s="22">
        <v>7</v>
      </c>
      <c r="B32" s="23">
        <v>45000</v>
      </c>
      <c r="C32" s="23">
        <v>25831.21</v>
      </c>
    </row>
    <row r="33" spans="1:3" x14ac:dyDescent="0.25">
      <c r="A33" s="22">
        <v>8</v>
      </c>
      <c r="B33" s="23">
        <v>45000</v>
      </c>
      <c r="C33" s="23">
        <v>20518.46</v>
      </c>
    </row>
    <row r="34" spans="1:3" x14ac:dyDescent="0.25">
      <c r="A34" s="22">
        <v>9</v>
      </c>
      <c r="B34" s="23">
        <v>45000</v>
      </c>
      <c r="C34" s="23">
        <v>16298.39</v>
      </c>
    </row>
    <row r="35" spans="1:3" x14ac:dyDescent="0.25">
      <c r="A35" s="22">
        <v>10</v>
      </c>
      <c r="B35" s="23">
        <v>45000</v>
      </c>
      <c r="C35" s="23">
        <v>12946.27</v>
      </c>
    </row>
  </sheetData>
  <pageMargins left="0.7" right="0.7" top="0.75" bottom="0.75" header="0.3" footer="0.3"/>
  <pageSetup paperSize="9" orientation="portrait"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Information</vt:lpstr>
      <vt:lpstr>Depreciation Calculator</vt:lpstr>
      <vt:lpstr>Extra</vt:lpstr>
      <vt:lpstr>DC</vt:lpstr>
      <vt:lpstr>Depreciation_Calculator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Shubham Gadekar_DVVPCOE</cp:lastModifiedBy>
  <cp:lastPrinted>2019-12-30T11:34:18Z</cp:lastPrinted>
  <dcterms:created xsi:type="dcterms:W3CDTF">2019-12-30T10:28:43Z</dcterms:created>
  <dcterms:modified xsi:type="dcterms:W3CDTF">2026-02-28T06:20:37Z</dcterms:modified>
</cp:coreProperties>
</file>