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CoachX\EXCEL\PROJECT\Project 3\"/>
    </mc:Choice>
  </mc:AlternateContent>
  <xr:revisionPtr revIDLastSave="0" documentId="13_ncr:1_{F0ECB876-1FCF-49F6-B448-07301E21946A}" xr6:coauthVersionLast="47" xr6:coauthVersionMax="47" xr10:uidLastSave="{00000000-0000-0000-0000-000000000000}"/>
  <bookViews>
    <workbookView xWindow="-120" yWindow="-120" windowWidth="20730" windowHeight="11760" tabRatio="699" firstSheet="2" activeTab="3" xr2:uid="{00000000-000D-0000-FFFF-FFFF00000000}"/>
  </bookViews>
  <sheets>
    <sheet name="Qs)Part-3" sheetId="6" r:id="rId1"/>
    <sheet name="Qs)Part-4 Visualizations-1" sheetId="7" r:id="rId2"/>
    <sheet name="CX_Junior BI Analyst_Test" sheetId="2" r:id="rId3"/>
    <sheet name="Pivot Tables" sheetId="8" r:id="rId4"/>
  </sheet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E3" i="2" l="1" a="1"/>
  <c r="CE3" i="2" s="1"/>
  <c r="CE4" i="2" a="1"/>
  <c r="CE4" i="2"/>
  <c r="CE5" i="2" a="1"/>
  <c r="CE5" i="2" s="1"/>
  <c r="CE6" i="2" a="1"/>
  <c r="CE6" i="2"/>
  <c r="CE7" i="2" a="1"/>
  <c r="CE7" i="2" s="1"/>
  <c r="CE8" i="2" a="1"/>
  <c r="CE8" i="2"/>
  <c r="CE9" i="2" a="1"/>
  <c r="CE9" i="2" s="1"/>
  <c r="CE10" i="2" a="1"/>
  <c r="CE10" i="2"/>
  <c r="CE11" i="2" a="1"/>
  <c r="CE11" i="2" s="1"/>
  <c r="CE12" i="2" a="1"/>
  <c r="CE12" i="2"/>
  <c r="CE13" i="2" a="1"/>
  <c r="CE13" i="2" s="1"/>
  <c r="CE14" i="2" a="1"/>
  <c r="CE14" i="2"/>
  <c r="CE15" i="2" a="1"/>
  <c r="CE15" i="2" s="1"/>
  <c r="CE16" i="2" a="1"/>
  <c r="CE16" i="2"/>
  <c r="CE17" i="2" a="1"/>
  <c r="CE17" i="2" s="1"/>
  <c r="CE18" i="2" a="1"/>
  <c r="CE18" i="2"/>
  <c r="CE19" i="2" a="1"/>
  <c r="CE19" i="2" s="1"/>
  <c r="CE20" i="2" a="1"/>
  <c r="CE20" i="2"/>
  <c r="CE21" i="2" a="1"/>
  <c r="CE21" i="2" s="1"/>
  <c r="CE22" i="2" a="1"/>
  <c r="CE22" i="2"/>
  <c r="CE23" i="2" a="1"/>
  <c r="CE23" i="2" s="1"/>
  <c r="CE24" i="2" a="1"/>
  <c r="CE24" i="2"/>
  <c r="CE25" i="2" a="1"/>
  <c r="CE25" i="2" s="1"/>
  <c r="CE26" i="2" a="1"/>
  <c r="CE26" i="2"/>
  <c r="CE27" i="2" a="1"/>
  <c r="CE27" i="2" s="1"/>
  <c r="CE28" i="2" a="1"/>
  <c r="CE28" i="2"/>
  <c r="CE29" i="2" a="1"/>
  <c r="CE29" i="2" s="1"/>
  <c r="CE30" i="2" a="1"/>
  <c r="CE30" i="2"/>
  <c r="CE31" i="2" a="1"/>
  <c r="CE31" i="2" s="1"/>
  <c r="CE32" i="2" a="1"/>
  <c r="CE32" i="2"/>
  <c r="CE33" i="2" a="1"/>
  <c r="CE33" i="2" s="1"/>
  <c r="CE34" i="2" a="1"/>
  <c r="CE34" i="2"/>
  <c r="CE35" i="2" a="1"/>
  <c r="CE35" i="2" s="1"/>
  <c r="CE36" i="2" a="1"/>
  <c r="CE36" i="2"/>
  <c r="CE37" i="2" a="1"/>
  <c r="CE37" i="2" s="1"/>
  <c r="CE38" i="2" a="1"/>
  <c r="CE38" i="2"/>
  <c r="CE39" i="2" a="1"/>
  <c r="CE39" i="2" s="1"/>
  <c r="CE40" i="2" a="1"/>
  <c r="CE40" i="2"/>
  <c r="CE41" i="2" a="1"/>
  <c r="CE41" i="2" s="1"/>
  <c r="CE42" i="2" a="1"/>
  <c r="CE42" i="2"/>
  <c r="CE43" i="2" a="1"/>
  <c r="CE43" i="2" s="1"/>
  <c r="CE44" i="2" a="1"/>
  <c r="CE44" i="2"/>
  <c r="CE45" i="2" a="1"/>
  <c r="CE45" i="2" s="1"/>
  <c r="CE46" i="2" a="1"/>
  <c r="CE46" i="2"/>
  <c r="CE47" i="2" a="1"/>
  <c r="CE47" i="2" s="1"/>
  <c r="CE48" i="2" a="1"/>
  <c r="CE48" i="2"/>
  <c r="CE49" i="2" a="1"/>
  <c r="CE49" i="2" s="1"/>
  <c r="CE50" i="2" a="1"/>
  <c r="CE50" i="2"/>
  <c r="CE51" i="2" a="1"/>
  <c r="CE51" i="2" s="1"/>
  <c r="CE52" i="2" a="1"/>
  <c r="CE52" i="2"/>
  <c r="CE53" i="2" a="1"/>
  <c r="CE53" i="2" s="1"/>
  <c r="CE54" i="2" a="1"/>
  <c r="CE54" i="2"/>
  <c r="CE55" i="2" a="1"/>
  <c r="CE55" i="2" s="1"/>
  <c r="CE56" i="2" a="1"/>
  <c r="CE56" i="2"/>
  <c r="CE57" i="2" a="1"/>
  <c r="CE57" i="2" s="1"/>
  <c r="CE58" i="2" a="1"/>
  <c r="CE58" i="2"/>
  <c r="CE59" i="2" a="1"/>
  <c r="CE59" i="2" s="1"/>
  <c r="CE60" i="2" a="1"/>
  <c r="CE60" i="2"/>
  <c r="CE61" i="2" a="1"/>
  <c r="CE61" i="2" s="1"/>
  <c r="CE62" i="2" a="1"/>
  <c r="CE62" i="2"/>
  <c r="CE2" i="2" a="1"/>
  <c r="CE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<sst xmlns="http://schemas.openxmlformats.org/spreadsheetml/2006/main" count="3974" uniqueCount="794">
  <si>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</si>
  <si>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</si>
  <si>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</si>
  <si>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</si>
  <si>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</si>
  <si>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</si>
  <si>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</si>
  <si>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</si>
  <si>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</si>
  <si>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</si>
  <si>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</si>
  <si>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</si>
  <si>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</si>
  <si>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</si>
  <si>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</si>
  <si>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</si>
  <si>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</si>
  <si>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</si>
  <si>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</si>
  <si>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</si>
  <si>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</si>
  <si>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</si>
  <si>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</si>
  <si>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</si>
  <si>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</si>
  <si>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</si>
  <si>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</si>
  <si>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</si>
  <si>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</si>
  <si>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</si>
  <si>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</si>
  <si>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</si>
  <si>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</si>
  <si>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</si>
  <si>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</si>
  <si>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</si>
  <si>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</si>
  <si>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</si>
  <si>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</si>
  <si>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</si>
  <si>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</si>
  <si>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</si>
  <si>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</si>
  <si>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</si>
  <si>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</si>
  <si>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</si>
  <si>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</si>
  <si>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</si>
  <si>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</si>
  <si>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</si>
  <si>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</si>
  <si>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</si>
  <si>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</si>
  <si>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</si>
  <si>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</si>
  <si>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</si>
  <si>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</si>
  <si>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</si>
  <si>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</si>
  <si>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</si>
  <si>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</si>
  <si>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</si>
  <si>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</si>
  <si>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</si>
  <si>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</si>
  <si>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</si>
  <si>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</si>
  <si>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</si>
  <si>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</si>
  <si>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</si>
  <si>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</si>
  <si>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</si>
  <si>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</si>
  <si>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</si>
  <si>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</si>
  <si>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</si>
  <si>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</si>
  <si>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</si>
  <si>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</si>
  <si>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</si>
  <si>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</si>
  <si>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</si>
  <si>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</si>
  <si>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</si>
  <si>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</si>
  <si>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</si>
  <si>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</si>
  <si>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</si>
  <si>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</si>
  <si>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</si>
  <si>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</si>
  <si>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</si>
  <si>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</si>
  <si>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</si>
  <si>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</si>
  <si>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</si>
  <si>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</si>
  <si>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</si>
  <si>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</si>
  <si>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</si>
  <si>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</si>
  <si>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</si>
  <si>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</si>
  <si>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</si>
  <si>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</si>
  <si>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</si>
  <si>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</si>
  <si>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</si>
  <si>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</si>
  <si>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</si>
  <si>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</si>
  <si>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</si>
  <si>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</si>
  <si>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</si>
  <si>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</si>
  <si>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</si>
  <si>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</si>
  <si>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</si>
  <si>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</si>
  <si>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</si>
  <si>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</si>
  <si>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</si>
  <si>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</si>
  <si>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</si>
  <si>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</si>
  <si>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</si>
  <si>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</si>
  <si>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</si>
  <si>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</si>
  <si>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</si>
  <si>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</si>
  <si>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</si>
  <si>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</si>
  <si>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</si>
  <si>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</si>
  <si>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</si>
  <si>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</si>
  <si>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</si>
  <si>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</si>
  <si>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</si>
  <si>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</si>
  <si>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</si>
  <si>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</si>
  <si>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</si>
  <si>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</si>
  <si>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</si>
  <si>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</si>
  <si>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</si>
  <si>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</si>
  <si>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</si>
  <si>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</si>
  <si>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</si>
  <si>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</si>
  <si>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</si>
  <si>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</si>
  <si>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</si>
  <si>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</si>
  <si>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</si>
  <si>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</si>
  <si>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</si>
  <si>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</si>
  <si>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</si>
  <si>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</si>
  <si>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</si>
  <si>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</si>
  <si>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</si>
  <si>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</si>
  <si>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</si>
  <si>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</si>
  <si>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</si>
  <si>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</si>
  <si>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</si>
  <si>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</si>
  <si>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</si>
  <si>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</si>
  <si>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</si>
  <si>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</si>
  <si>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</si>
  <si>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</si>
  <si>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</si>
  <si>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</si>
  <si>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</si>
  <si>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</si>
  <si>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</si>
  <si>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</si>
  <si>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</si>
  <si>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</si>
  <si>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</si>
  <si>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</si>
  <si>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</si>
  <si>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</si>
  <si>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</si>
  <si>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</si>
  <si>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</si>
  <si>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</si>
  <si>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</si>
  <si>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</si>
  <si>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</si>
  <si>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</si>
  <si>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</si>
  <si>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</si>
  <si>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</si>
  <si>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</si>
  <si>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</si>
  <si>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</si>
  <si>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</si>
  <si>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</si>
  <si>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</si>
  <si>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</si>
  <si>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</si>
  <si>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</si>
  <si>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</si>
  <si>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</si>
  <si>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</si>
  <si>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</si>
  <si>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</si>
  <si>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</si>
  <si>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</si>
  <si>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</si>
  <si>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</si>
  <si>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</si>
  <si>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</si>
  <si>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</si>
  <si>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</si>
  <si>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</si>
  <si>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</si>
  <si>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</si>
  <si>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</si>
  <si>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</si>
  <si>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</si>
  <si>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</si>
  <si>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</si>
  <si>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</si>
  <si>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</si>
  <si>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</si>
  <si>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</si>
  <si>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</si>
  <si>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</si>
  <si>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</si>
  <si>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</si>
  <si>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</si>
  <si>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</si>
  <si>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</si>
  <si>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</si>
  <si>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</si>
  <si>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</si>
  <si>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</si>
  <si>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</si>
  <si>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</si>
  <si>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</si>
  <si>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</si>
  <si>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</si>
  <si>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</si>
  <si>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</si>
  <si>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</si>
  <si>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</si>
  <si>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</si>
  <si>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</si>
  <si>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</si>
  <si>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</si>
  <si>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</si>
  <si>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</si>
  <si>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</si>
  <si>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</si>
  <si>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</si>
  <si>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</si>
  <si>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</si>
  <si>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</si>
  <si>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</si>
  <si>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</si>
  <si>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</si>
  <si>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</si>
  <si>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</si>
  <si>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</si>
  <si>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</si>
  <si>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</si>
  <si>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</si>
  <si>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</si>
  <si>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</si>
  <si>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</si>
  <si>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</si>
  <si>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</si>
  <si>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</si>
  <si>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</si>
  <si>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</si>
  <si>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</si>
  <si>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</si>
  <si>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</si>
  <si>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</si>
  <si>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</si>
  <si>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</si>
  <si>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</si>
  <si>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</si>
  <si>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</si>
  <si>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</si>
  <si>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</si>
  <si>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</si>
  <si>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</si>
  <si>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</si>
  <si>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</si>
  <si>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</si>
  <si>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</si>
  <si>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</si>
  <si>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</si>
  <si>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</si>
  <si>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</si>
  <si>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</si>
  <si>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</si>
  <si>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</si>
  <si>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</si>
  <si>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</si>
  <si>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</si>
  <si>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</si>
  <si>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</si>
  <si>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</si>
  <si>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</si>
  <si>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</si>
  <si>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</si>
  <si>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</si>
  <si>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</si>
  <si>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</si>
  <si>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</si>
  <si>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</si>
  <si>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</si>
  <si>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</si>
  <si>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</si>
  <si>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</si>
  <si>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</si>
  <si>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</si>
  <si>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</si>
  <si>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</si>
  <si>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</si>
  <si>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</si>
  <si>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</si>
  <si>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</si>
  <si>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</si>
  <si>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</si>
  <si>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</si>
  <si>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</si>
  <si>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</si>
  <si>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</si>
  <si>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</si>
  <si>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</si>
  <si>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</si>
  <si>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</si>
  <si>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</si>
  <si>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</si>
  <si>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</si>
  <si>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</si>
  <si>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</si>
  <si>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</si>
  <si>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</si>
  <si>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</si>
  <si>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</si>
  <si>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</si>
  <si>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</si>
  <si>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</si>
  <si>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</si>
  <si>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</si>
  <si>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</si>
  <si>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</si>
  <si>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</si>
  <si>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</si>
  <si>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</si>
  <si>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</si>
  <si>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</si>
  <si>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</si>
  <si>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</si>
  <si>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</si>
  <si>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</si>
  <si>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</si>
  <si>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</si>
  <si>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</si>
  <si>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</si>
  <si>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</si>
  <si>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</si>
  <si>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</si>
  <si>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</si>
  <si>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</si>
  <si>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</si>
  <si>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</si>
  <si>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</si>
  <si>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</si>
  <si>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</si>
  <si>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</si>
  <si>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</si>
  <si>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</si>
  <si>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</si>
  <si>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</si>
  <si>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</si>
  <si>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</si>
  <si>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</si>
  <si>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</si>
  <si>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</si>
  <si>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</si>
  <si>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</si>
  <si>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</si>
  <si>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</si>
  <si>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</si>
  <si>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</si>
  <si>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</si>
  <si>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</si>
  <si>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</si>
  <si>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</si>
  <si>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</si>
  <si>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</si>
  <si>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</si>
  <si>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</si>
  <si>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</si>
  <si>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</si>
  <si>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</si>
  <si>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</si>
  <si>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</si>
  <si>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</si>
  <si>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</si>
  <si>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</si>
  <si>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</si>
  <si>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</si>
  <si>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</si>
  <si>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</si>
  <si>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</si>
  <si>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</si>
  <si>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</si>
  <si>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</si>
  <si>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</si>
  <si>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</si>
  <si>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</si>
  <si>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</si>
  <si>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</si>
  <si>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</si>
  <si>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</si>
  <si>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</si>
  <si>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</si>
  <si>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</si>
  <si>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</si>
  <si>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</si>
  <si>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</si>
  <si>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</si>
  <si>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</si>
  <si>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</si>
  <si>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</si>
  <si>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</si>
  <si>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</si>
  <si>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</si>
  <si>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</si>
  <si>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</si>
  <si>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</si>
  <si>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</si>
  <si>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</si>
  <si>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</si>
  <si>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</si>
  <si>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</si>
  <si>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</si>
  <si>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</si>
  <si>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</si>
  <si>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</si>
  <si>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</si>
  <si>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</si>
  <si>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</si>
  <si>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</si>
  <si>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</si>
  <si>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</si>
  <si>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</si>
  <si>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</si>
  <si>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</si>
  <si>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</si>
  <si>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</si>
  <si>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</si>
  <si>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</si>
  <si>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</si>
  <si>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</si>
  <si>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</si>
  <si>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</si>
  <si>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</si>
  <si>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</si>
  <si>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</si>
  <si>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</si>
  <si>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</si>
  <si>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</si>
  <si>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</si>
  <si>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</si>
  <si>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</si>
  <si>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</si>
  <si>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</si>
  <si>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</si>
  <si>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</si>
  <si>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</si>
  <si>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</si>
  <si>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</si>
  <si>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</si>
  <si>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</si>
  <si>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</si>
  <si>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</si>
  <si>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</si>
  <si>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</si>
  <si>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</si>
  <si>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</si>
  <si>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</si>
  <si>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</si>
  <si>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</si>
  <si>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</si>
  <si>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</si>
  <si>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</si>
  <si>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</si>
  <si>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</si>
  <si>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</si>
  <si>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</si>
  <si>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</si>
  <si>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</si>
  <si>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</si>
  <si>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</si>
  <si>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</si>
  <si>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</si>
  <si>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</si>
  <si>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</si>
  <si>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</si>
  <si>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</si>
  <si>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</si>
  <si>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</si>
  <si>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</si>
  <si>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</si>
  <si>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</si>
  <si>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</si>
  <si>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</si>
  <si>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</si>
  <si>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</si>
  <si>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</si>
  <si>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</si>
  <si>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</si>
  <si>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</si>
  <si>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</si>
  <si>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</si>
  <si>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</si>
  <si>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</si>
  <si>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</si>
  <si>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</si>
  <si>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</si>
  <si>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</si>
  <si>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</si>
  <si>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</si>
  <si>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</si>
  <si>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</si>
  <si>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</si>
  <si>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</si>
  <si>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</si>
  <si>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</si>
  <si>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</si>
  <si>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</si>
  <si>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</si>
  <si>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</si>
  <si>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</si>
  <si>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</si>
  <si>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</si>
  <si>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</si>
  <si>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</si>
  <si>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</si>
  <si>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</si>
  <si>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</si>
  <si>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</si>
  <si>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</si>
  <si>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</si>
  <si>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</si>
  <si>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</si>
  <si>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</si>
  <si>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</si>
  <si>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</si>
  <si>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</si>
  <si>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</si>
  <si>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</si>
  <si>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</si>
  <si>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</si>
  <si>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</si>
  <si>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</si>
  <si>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</si>
  <si>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</si>
  <si>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</si>
  <si>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</si>
  <si>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</si>
  <si>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</si>
  <si>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</si>
  <si>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</si>
  <si>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</si>
  <si>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</si>
  <si>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</si>
  <si>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</si>
  <si>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</si>
  <si>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</si>
  <si>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</si>
  <si>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</si>
  <si>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</si>
  <si>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</si>
  <si>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</si>
  <si>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</si>
  <si>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</si>
  <si>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</si>
  <si>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</si>
  <si>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</si>
  <si>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</si>
  <si>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</si>
  <si>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</si>
  <si>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</si>
  <si>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</si>
  <si>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</si>
  <si>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</si>
  <si>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</si>
  <si>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</si>
  <si>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</si>
  <si>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</si>
  <si>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</si>
  <si>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</si>
  <si>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</si>
  <si>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</si>
  <si>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</si>
  <si>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</si>
  <si>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</si>
  <si>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</si>
  <si>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</si>
  <si>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</si>
  <si>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</si>
  <si>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</si>
  <si>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</si>
  <si>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</si>
  <si>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</si>
  <si>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</si>
  <si>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</si>
  <si>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</si>
  <si>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</si>
  <si>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</si>
  <si>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</si>
  <si>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</si>
  <si>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</si>
  <si>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</si>
  <si>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</si>
  <si>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</si>
  <si>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</si>
  <si>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</si>
  <si>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</si>
  <si>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</si>
  <si>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</si>
  <si>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</si>
  <si>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</si>
  <si>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</si>
  <si>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</si>
  <si>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</si>
  <si>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</si>
  <si>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</si>
  <si>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</si>
  <si>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</si>
  <si>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</si>
  <si>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</si>
  <si>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</si>
  <si>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</si>
  <si>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</si>
  <si>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</si>
  <si>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</si>
  <si>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</si>
  <si>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</si>
  <si>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</si>
  <si>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</si>
  <si>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</si>
  <si>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</si>
  <si>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</si>
  <si>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</si>
  <si>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</si>
  <si>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</si>
  <si>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</si>
  <si>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</si>
  <si>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</si>
  <si>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</si>
  <si>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</si>
  <si>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</si>
  <si>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</si>
  <si>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</si>
  <si>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</si>
  <si>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</si>
  <si>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</si>
  <si>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</si>
  <si>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</si>
  <si>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</si>
  <si>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</si>
  <si>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</si>
  <si>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</si>
  <si>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</si>
  <si>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</si>
  <si>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</si>
  <si>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</si>
  <si>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</si>
  <si>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</si>
  <si>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</si>
  <si>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</si>
  <si>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</si>
  <si>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</si>
  <si>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</si>
  <si>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</si>
  <si>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</si>
  <si>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</si>
  <si>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</si>
  <si>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</si>
  <si>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</si>
  <si>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</si>
  <si>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</si>
  <si>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</si>
  <si>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</si>
  <si>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</si>
  <si>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</si>
  <si>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</si>
  <si>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</si>
  <si>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</si>
  <si>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</si>
  <si>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</si>
  <si>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</si>
  <si>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</si>
  <si>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</si>
  <si>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</si>
  <si>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</si>
  <si>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</si>
  <si>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</si>
  <si>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</si>
  <si>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</si>
  <si>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</si>
  <si>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</si>
  <si>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</si>
  <si>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</si>
  <si>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</si>
  <si>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</si>
  <si>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</si>
  <si>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</si>
  <si>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</si>
  <si>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</si>
  <si>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</si>
  <si>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</si>
  <si>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</si>
  <si>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</si>
  <si>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</si>
  <si>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</si>
  <si>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</si>
  <si>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</si>
  <si>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</si>
  <si>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</si>
  <si>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</si>
  <si>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</si>
  <si>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</si>
  <si>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</si>
  <si>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</si>
  <si>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</si>
  <si>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</si>
  <si>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</si>
  <si>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</si>
  <si>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</si>
  <si>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</si>
  <si>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</si>
  <si>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</si>
  <si>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</si>
  <si>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</si>
  <si>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</si>
  <si>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</si>
  <si>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</si>
  <si>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</si>
  <si>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</si>
  <si>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</si>
  <si>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</si>
  <si>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</si>
  <si>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</si>
  <si>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</si>
  <si>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</si>
  <si>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</si>
  <si>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</si>
  <si>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</si>
  <si>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</si>
  <si>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</si>
  <si>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</si>
  <si>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</si>
  <si>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</si>
  <si>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</si>
  <si>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</si>
  <si>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</si>
  <si>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</si>
  <si>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</si>
  <si>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</si>
  <si>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</si>
  <si>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</si>
  <si>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</si>
  <si>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</si>
  <si>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</si>
  <si>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</si>
  <si>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Performance_Grade</t>
  </si>
  <si>
    <t>Average Evaluation_Score</t>
  </si>
  <si>
    <t>Count of Performance_Grade</t>
  </si>
  <si>
    <t>Avg Store Ambiance</t>
  </si>
  <si>
    <t>Avg First Impression</t>
  </si>
  <si>
    <t>Avg DISCOVERY</t>
  </si>
  <si>
    <t>Avg RECOMMENDATIONS</t>
  </si>
  <si>
    <t>Avg Overall Assistance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</si>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</sst>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applyAlignment="1">
      <alignment horizontal="center"/>
    </xf>
    <xf numFmtId="0" fontId="2" fillId="3" borderId="2" xfId="0" applyFont="1" applyFill="1" applyBorder="1"/>
    <xf numFmtId="2"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A012-4346-A399-8058D3DDC129}"/>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[Project-3(Bare International Analysis).xlsx]Pivot Tables!PivotTable1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Evaluation Score by Zone</a:t>
            </a:r>
          </a:p>
        </c:rich>
      </c:tx>
      <c:layout>
        <c:manualLayout>
          <c:xMode val="edge"/>
          <c:yMode val="edge"/>
          <c:x val="0.2019304461942257"/>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Tables'!$A$4:$A$8</c:f>
              <c:strCache>
                <c:ptCount val="4"/>
                <c:pt idx="0">
                  <c:v>East</c:v>
                </c:pt>
                <c:pt idx="1">
                  <c:v>North</c:v>
                </c:pt>
                <c:pt idx="2">
                  <c:v>South</c:v>
                </c:pt>
                <c:pt idx="3">
                  <c:v>West</c:v>
                </c:pt>
              </c:strCache>
            </c:strRef>
          </c:cat>
          <c:val>
            <c:numRef>
              <c:f>'Pivot Tables'!$B$4:$B$8</c:f>
              <c:numCache>
                <c:formatCode>0.00</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6502-4439-9BF5-6F2187660046}"/>
            </c:ext>
          </c:extLst>
        </c:ser>
        <c:dLbls>
          <c:showLegendKey val="0"/>
          <c:showVal val="0"/>
          <c:showCatName val="0"/>
          <c:showSerName val="0"/>
          <c:showPercent val="0"/>
          <c:showBubbleSize val="0"/>
        </c:dLbls>
        <c:gapWidth val="100"/>
        <c:overlap val="-24"/>
        <c:axId val="544393608"/>
        <c:axId val="544392168"/>
      </c:barChart>
      <c:catAx>
        <c:axId val="544393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92168"/>
        <c:crosses val="autoZero"/>
        <c:auto val="1"/>
        <c:lblAlgn val="ctr"/>
        <c:lblOffset val="100"/>
        <c:noMultiLvlLbl val="0"/>
      </c:catAx>
      <c:valAx>
        <c:axId val="544392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93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 of High Performers by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Tables'!$H$12</c:f>
              <c:strCache>
                <c:ptCount val="1"/>
                <c:pt idx="0">
                  <c:v>High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62-4858-BCE6-25FD3EDB8F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62-4858-BCE6-25FD3EDB8F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62-4858-BCE6-25FD3EDB8F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62-4858-BCE6-25FD3EDB8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 Tables'!$G$13:$G$16</c:f>
              <c:strCache>
                <c:ptCount val="4"/>
                <c:pt idx="0">
                  <c:v>East</c:v>
                </c:pt>
                <c:pt idx="1">
                  <c:v>North</c:v>
                </c:pt>
                <c:pt idx="2">
                  <c:v>South</c:v>
                </c:pt>
                <c:pt idx="3">
                  <c:v>West</c:v>
                </c:pt>
              </c:strCache>
            </c:strRef>
          </c:cat>
          <c:val>
            <c:numRef>
              <c:f>'Pivot Tables'!$H$13:$H$16</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0-A284-4EFD-8415-6745F64D8583}"/>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[Project-3(Bare International Analysis).xlsx]Pivot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Evaluation Score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Tables'!$A$30:$A$52</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'Pivot Tables'!$B$30:$B$52</c:f>
              <c:numCache>
                <c:formatCode>0.00</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EEB8-42C1-9E34-951A25C8DB94}"/>
            </c:ext>
          </c:extLst>
        </c:ser>
        <c:dLbls>
          <c:dLblPos val="t"/>
          <c:showLegendKey val="0"/>
          <c:showVal val="0"/>
          <c:showCatName val="0"/>
          <c:showSerName val="0"/>
          <c:showPercent val="0"/>
          <c:showBubbleSize val="0"/>
        </c:dLbls>
        <c:marker val="1"/>
        <c:smooth val="0"/>
        <c:axId val="454584712"/>
        <c:axId val="454581112"/>
      </c:lineChart>
      <c:catAx>
        <c:axId val="454584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Evaluation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581112"/>
        <c:crosses val="autoZero"/>
        <c:auto val="1"/>
        <c:lblAlgn val="ctr"/>
        <c:lblOffset val="100"/>
        <c:noMultiLvlLbl val="0"/>
      </c:catAx>
      <c:valAx>
        <c:axId val="454581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Evaluation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584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Style Advisor Performance Distribution by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Tables'!$B$72:$B$73</c:f>
              <c:strCache>
                <c:ptCount val="1"/>
                <c:pt idx="0">
                  <c:v>High Performer</c:v>
                </c:pt>
              </c:strCache>
            </c:strRef>
          </c:tx>
          <c:spPr>
            <a:solidFill>
              <a:schemeClr val="accent1"/>
            </a:solidFill>
            <a:ln>
              <a:noFill/>
            </a:ln>
            <a:effectLst/>
          </c:spPr>
          <c:invertIfNegative val="0"/>
          <c:cat>
            <c:strRef>
              <c:f>'Pivot Tables'!$A$74:$A$78</c:f>
              <c:strCache>
                <c:ptCount val="4"/>
                <c:pt idx="0">
                  <c:v>East</c:v>
                </c:pt>
                <c:pt idx="1">
                  <c:v>North</c:v>
                </c:pt>
                <c:pt idx="2">
                  <c:v>South</c:v>
                </c:pt>
                <c:pt idx="3">
                  <c:v>West</c:v>
                </c:pt>
              </c:strCache>
            </c:strRef>
          </c:cat>
          <c:val>
            <c:numRef>
              <c:f>'Pivot Tables'!$B$74:$B$78</c:f>
              <c:numCache>
                <c:formatCode>General</c:formatCode>
                <c:ptCount val="4"/>
                <c:pt idx="0">
                  <c:v>2</c:v>
                </c:pt>
                <c:pt idx="1">
                  <c:v>4</c:v>
                </c:pt>
                <c:pt idx="2">
                  <c:v>2</c:v>
                </c:pt>
                <c:pt idx="3">
                  <c:v>2</c:v>
                </c:pt>
              </c:numCache>
            </c:numRef>
          </c:val>
          <c:extLst>
            <c:ext xmlns:c16="http://schemas.microsoft.com/office/drawing/2014/chart" uri="{C3380CC4-5D6E-409C-BE32-E72D297353CC}">
              <c16:uniqueId val="{00000000-6B77-42CC-A357-0212E8B0D18E}"/>
            </c:ext>
          </c:extLst>
        </c:ser>
        <c:ser>
          <c:idx val="1"/>
          <c:order val="1"/>
          <c:tx>
            <c:strRef>
              <c:f>'Pivot Tables'!$C$72:$C$73</c:f>
              <c:strCache>
                <c:ptCount val="1"/>
                <c:pt idx="0">
                  <c:v>Average Performer</c:v>
                </c:pt>
              </c:strCache>
            </c:strRef>
          </c:tx>
          <c:spPr>
            <a:solidFill>
              <a:schemeClr val="accent2"/>
            </a:solidFill>
            <a:ln>
              <a:noFill/>
            </a:ln>
            <a:effectLst/>
          </c:spPr>
          <c:invertIfNegative val="0"/>
          <c:cat>
            <c:strRef>
              <c:f>'Pivot Tables'!$A$74:$A$78</c:f>
              <c:strCache>
                <c:ptCount val="4"/>
                <c:pt idx="0">
                  <c:v>East</c:v>
                </c:pt>
                <c:pt idx="1">
                  <c:v>North</c:v>
                </c:pt>
                <c:pt idx="2">
                  <c:v>South</c:v>
                </c:pt>
                <c:pt idx="3">
                  <c:v>West</c:v>
                </c:pt>
              </c:strCache>
            </c:strRef>
          </c:cat>
          <c:val>
            <c:numRef>
              <c:f>'Pivot Tables'!$C$74:$C$78</c:f>
              <c:numCache>
                <c:formatCode>General</c:formatCode>
                <c:ptCount val="4"/>
                <c:pt idx="0">
                  <c:v>1</c:v>
                </c:pt>
                <c:pt idx="1">
                  <c:v>9</c:v>
                </c:pt>
                <c:pt idx="2">
                  <c:v>7</c:v>
                </c:pt>
                <c:pt idx="3">
                  <c:v>10</c:v>
                </c:pt>
              </c:numCache>
            </c:numRef>
          </c:val>
          <c:extLst>
            <c:ext xmlns:c16="http://schemas.microsoft.com/office/drawing/2014/chart" uri="{C3380CC4-5D6E-409C-BE32-E72D297353CC}">
              <c16:uniqueId val="{00000005-6B77-42CC-A357-0212E8B0D18E}"/>
            </c:ext>
          </c:extLst>
        </c:ser>
        <c:ser>
          <c:idx val="2"/>
          <c:order val="2"/>
          <c:tx>
            <c:strRef>
              <c:f>'Pivot Tables'!$D$72:$D$73</c:f>
              <c:strCache>
                <c:ptCount val="1"/>
                <c:pt idx="0">
                  <c:v>Low Performer</c:v>
                </c:pt>
              </c:strCache>
            </c:strRef>
          </c:tx>
          <c:spPr>
            <a:solidFill>
              <a:schemeClr val="accent3"/>
            </a:solidFill>
            <a:ln>
              <a:noFill/>
            </a:ln>
            <a:effectLst/>
          </c:spPr>
          <c:invertIfNegative val="0"/>
          <c:cat>
            <c:strRef>
              <c:f>'Pivot Tables'!$A$74:$A$78</c:f>
              <c:strCache>
                <c:ptCount val="4"/>
                <c:pt idx="0">
                  <c:v>East</c:v>
                </c:pt>
                <c:pt idx="1">
                  <c:v>North</c:v>
                </c:pt>
                <c:pt idx="2">
                  <c:v>South</c:v>
                </c:pt>
                <c:pt idx="3">
                  <c:v>West</c:v>
                </c:pt>
              </c:strCache>
            </c:strRef>
          </c:cat>
          <c:val>
            <c:numRef>
              <c:f>'Pivot Tables'!$D$74:$D$78</c:f>
              <c:numCache>
                <c:formatCode>General</c:formatCode>
                <c:ptCount val="4"/>
                <c:pt idx="0">
                  <c:v>3</c:v>
                </c:pt>
                <c:pt idx="1">
                  <c:v>5</c:v>
                </c:pt>
                <c:pt idx="2">
                  <c:v>6</c:v>
                </c:pt>
                <c:pt idx="3">
                  <c:v>2</c:v>
                </c:pt>
              </c:numCache>
            </c:numRef>
          </c:val>
          <c:extLst>
            <c:ext xmlns:c16="http://schemas.microsoft.com/office/drawing/2014/chart" uri="{C3380CC4-5D6E-409C-BE32-E72D297353CC}">
              <c16:uniqueId val="{00000006-6B77-42CC-A357-0212E8B0D18E}"/>
            </c:ext>
          </c:extLst>
        </c:ser>
        <c:ser>
          <c:idx val="3"/>
          <c:order val="3"/>
          <c:tx>
            <c:strRef>
              <c:f>'Pivot Tables'!$E$72:$E$73</c:f>
              <c:strCache>
                <c:ptCount val="1"/>
                <c:pt idx="0">
                  <c:v>Bottom Performer</c:v>
                </c:pt>
              </c:strCache>
            </c:strRef>
          </c:tx>
          <c:spPr>
            <a:solidFill>
              <a:schemeClr val="accent4"/>
            </a:solidFill>
            <a:ln>
              <a:noFill/>
            </a:ln>
            <a:effectLst/>
          </c:spPr>
          <c:invertIfNegative val="0"/>
          <c:cat>
            <c:strRef>
              <c:f>'Pivot Tables'!$A$74:$A$78</c:f>
              <c:strCache>
                <c:ptCount val="4"/>
                <c:pt idx="0">
                  <c:v>East</c:v>
                </c:pt>
                <c:pt idx="1">
                  <c:v>North</c:v>
                </c:pt>
                <c:pt idx="2">
                  <c:v>South</c:v>
                </c:pt>
                <c:pt idx="3">
                  <c:v>West</c:v>
                </c:pt>
              </c:strCache>
            </c:strRef>
          </c:cat>
          <c:val>
            <c:numRef>
              <c:f>'Pivot Tables'!$E$74:$E$78</c:f>
              <c:numCache>
                <c:formatCode>General</c:formatCode>
                <c:ptCount val="4"/>
                <c:pt idx="0">
                  <c:v>1</c:v>
                </c:pt>
                <c:pt idx="1">
                  <c:v>1</c:v>
                </c:pt>
                <c:pt idx="2">
                  <c:v>3</c:v>
                </c:pt>
                <c:pt idx="3">
                  <c:v>3</c:v>
                </c:pt>
              </c:numCache>
            </c:numRef>
          </c:val>
          <c:extLst>
            <c:ext xmlns:c16="http://schemas.microsoft.com/office/drawing/2014/chart" uri="{C3380CC4-5D6E-409C-BE32-E72D297353CC}">
              <c16:uniqueId val="{00000007-6B77-42CC-A357-0212E8B0D18E}"/>
            </c:ext>
          </c:extLst>
        </c:ser>
        <c:dLbls>
          <c:showLegendKey val="0"/>
          <c:showVal val="0"/>
          <c:showCatName val="0"/>
          <c:showSerName val="0"/>
          <c:showPercent val="0"/>
          <c:showBubbleSize val="0"/>
        </c:dLbls>
        <c:gapWidth val="150"/>
        <c:overlap val="100"/>
        <c:axId val="467494056"/>
        <c:axId val="467494416"/>
      </c:barChart>
      <c:catAx>
        <c:axId val="467494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94416"/>
        <c:crosses val="autoZero"/>
        <c:auto val="1"/>
        <c:lblAlgn val="ctr"/>
        <c:lblOffset val="100"/>
        <c:noMultiLvlLbl val="0"/>
      </c:catAx>
      <c:valAx>
        <c:axId val="46749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494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57149</xdr:colOff>
      <xdr:row>10</xdr:row>
      <xdr:rowOff>9524</xdr:rowOff>
    </xdr:from>
    <xdr:to>
      <xdr:col>4</xdr:col>
      <xdr:colOff>616323</xdr:colOff>
      <xdr:row>25</xdr:row>
      <xdr:rowOff>0</xdr:rowOff>
    </xdr:to>
    <xdr:graphicFrame macro="">
      <xdr:nvGraphicFramePr>
        <xdr:cNvPr id="2" name="Chart 1">
          <a:extLst>
            <a:ext uri="{FF2B5EF4-FFF2-40B4-BE49-F238E27FC236}">
              <a16:creationId xmlns:a16="http://schemas.microsoft.com/office/drawing/2014/main" id="{A3FC8B47-CA9A-FCB4-B8F4-C375A8B1A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290512</xdr:colOff>
      <xdr:row>9</xdr:row>
      <xdr:rowOff>152400</xdr:rowOff>
    </xdr:from>
    <xdr:to>
      <xdr:col>14</xdr:col>
      <xdr:colOff>347662</xdr:colOff>
      <xdr:row>24</xdr:row>
      <xdr:rowOff>38100</xdr:rowOff>
    </xdr:to>
    <xdr:graphicFrame macro="">
      <xdr:nvGraphicFramePr>
        <xdr:cNvPr id="8" name="Chart 7">
          <a:extLst>
            <a:ext uri="{FF2B5EF4-FFF2-40B4-BE49-F238E27FC236}">
              <a16:creationId xmlns:a16="http://schemas.microsoft.com/office/drawing/2014/main" id="{639A1690-6E3A-3739-3D3F-A50AEDDD6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442631</xdr:colOff>
      <xdr:row>27</xdr:row>
      <xdr:rowOff>174811</xdr:rowOff>
    </xdr:from>
    <xdr:to>
      <xdr:col>14</xdr:col>
      <xdr:colOff>313764</xdr:colOff>
      <xdr:row>52</xdr:row>
      <xdr:rowOff>11206</xdr:rowOff>
    </xdr:to>
    <xdr:graphicFrame macro="">
      <xdr:nvGraphicFramePr>
        <xdr:cNvPr id="3" name="Chart 2">
          <a:extLst>
            <a:ext uri="{FF2B5EF4-FFF2-40B4-BE49-F238E27FC236}">
              <a16:creationId xmlns:a16="http://schemas.microsoft.com/office/drawing/2014/main" id="{6459FC9D-D3AE-1CC0-9169-A8336C092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801219</xdr:colOff>
      <xdr:row>79</xdr:row>
      <xdr:rowOff>152400</xdr:rowOff>
    </xdr:from>
    <xdr:to>
      <xdr:col>7</xdr:col>
      <xdr:colOff>750793</xdr:colOff>
      <xdr:row>101</xdr:row>
      <xdr:rowOff>11206</xdr:rowOff>
    </xdr:to>
    <xdr:graphicFrame macro="">
      <xdr:nvGraphicFramePr>
        <xdr:cNvPr id="4" name="Chart 3">
          <a:extLst>
            <a:ext uri="{FF2B5EF4-FFF2-40B4-BE49-F238E27FC236}">
              <a16:creationId xmlns:a16="http://schemas.microsoft.com/office/drawing/2014/main" id="{FC579956-28C1-0338-A2F6-B2B1E6809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adekar" refreshedDate="46085.943257523148" createdVersion="4" refreshedVersion="8"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_Grad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x v="1"/>
    <n v="86"/>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x v="2"/>
    <n v="72"/>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x v="3"/>
    <n v="84"/>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x v="4"/>
    <n v="84"/>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x v="5"/>
    <n v="90"/>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x v="3"/>
    <n v="36"/>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x v="6"/>
    <n v="34"/>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x v="5"/>
    <n v="74"/>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x v="1"/>
    <n v="74"/>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x v="5"/>
    <n v="86"/>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x v="6"/>
    <n v="70"/>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x v="1"/>
    <n v="84"/>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x v="7"/>
    <n v="78"/>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x v="1"/>
    <n v="61"/>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x v="3"/>
    <n v="78"/>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x v="6"/>
    <n v="89"/>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x v="8"/>
    <n v="65"/>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x v="3"/>
    <n v="76"/>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x v="9"/>
    <n v="82"/>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x v="9"/>
    <n v="88"/>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x v="1"/>
    <n v="7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x v="1"/>
    <n v="67"/>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x v="1"/>
    <n v="6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x v="1"/>
    <n v="8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x v="6"/>
    <n v="78"/>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x v="1"/>
    <n v="9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x v="1"/>
    <n v="59"/>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x v="1"/>
    <n v="3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x v="9"/>
    <n v="64"/>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x v="10"/>
    <n v="69"/>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x v="11"/>
    <n v="83"/>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x v="11"/>
    <n v="94"/>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x v="11"/>
    <n v="80"/>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x v="12"/>
    <n v="82"/>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x v="7"/>
    <n v="84"/>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x v="4"/>
    <n v="73"/>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x v="4"/>
    <n v="39"/>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x v="13"/>
    <n v="7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x v="1"/>
    <n v="100"/>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x v="6"/>
    <n v="94"/>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x v="14"/>
    <n v="52"/>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x v="8"/>
    <n v="62"/>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x v="4"/>
    <n v="94"/>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x v="15"/>
    <n v="86"/>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x v="12"/>
    <n v="94"/>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x v="7"/>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x v="16"/>
    <n v="69"/>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x v="16"/>
    <n v="69"/>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x v="7"/>
    <n v="61"/>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x v="4"/>
    <n v="9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x v="12"/>
    <n v="96"/>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x v="4"/>
    <n v="34"/>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x v="17"/>
    <n v="53"/>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x v="18"/>
    <n v="94"/>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x v="19"/>
    <n v="61"/>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x v="19"/>
    <n v="88"/>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x v="20"/>
    <n v="77"/>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x v="20"/>
    <n v="3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x v="20"/>
    <n v="35"/>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x v="21"/>
    <n v="65"/>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B8" firstHeaderRow="1" firstDataRow="1"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DDBC3-A715-412C-AAF5-3E613CA220AD}" name="PivotTable5"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rowHeaderCaption="Zone" colHeaderCaption="">
  <location ref="A72:F78" firstHeaderRow="1" firstDataRow="2" firstDataCol="1"/>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2"/>
        <item x="1"/>
        <item x="0"/>
        <item x="3"/>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Performance_Grade" fld="82" subtotal="count" baseField="0" baseItem="0"/>
  </dataFields>
  <chartFormats count="4">
    <chartFormat chart="0" format="0" series="1">
      <pivotArea type="data" outline="0" fieldPosition="0">
        <references count="2">
          <reference field="4294967294" count="1" selected="0">
            <x v="0"/>
          </reference>
          <reference field="82" count="1" selected="0">
            <x v="1"/>
          </reference>
        </references>
      </pivotArea>
    </chartFormat>
    <chartFormat chart="0" format="1" series="1">
      <pivotArea type="data" outline="0" fieldPosition="0">
        <references count="2">
          <reference field="4294967294" count="1" selected="0">
            <x v="0"/>
          </reference>
          <reference field="82" count="1" selected="0">
            <x v="3"/>
          </reference>
        </references>
      </pivotArea>
    </chartFormat>
    <chartFormat chart="0" format="2" series="1">
      <pivotArea type="data" outline="0" fieldPosition="0">
        <references count="2">
          <reference field="4294967294" count="1" selected="0">
            <x v="0"/>
          </reference>
          <reference field="82" count="1" selected="0">
            <x v="0"/>
          </reference>
        </references>
      </pivotArea>
    </chartFormat>
    <chartFormat chart="0" format="3" series="1">
      <pivotArea type="data" outline="0" fieldPosition="0">
        <references count="2">
          <reference field="4294967294" count="1" selected="0">
            <x v="0"/>
          </reference>
          <reference field="8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F0E60D-F140-4510-80CE-FCB7FA02F3EF}" name="PivotTable4"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61:F66" firstHeaderRow="0" firstDataRow="1" firstDataCol="1"/>
  <pivotFields count="83">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3"/>
  </rowFields>
  <rowItems count="5">
    <i>
      <x/>
    </i>
    <i>
      <x v="1"/>
    </i>
    <i>
      <x v="2"/>
    </i>
    <i>
      <x v="3"/>
    </i>
    <i t="grand">
      <x/>
    </i>
  </rowItems>
  <colFields count="1">
    <field x="-2"/>
  </colFields>
  <colItems count="5">
    <i>
      <x/>
    </i>
    <i i="1">
      <x v="1"/>
    </i>
    <i i="2">
      <x v="2"/>
    </i>
    <i i="3">
      <x v="3"/>
    </i>
    <i i="4">
      <x v="4"/>
    </i>
  </colItems>
  <dataFields count="5">
    <dataField name="Avg Store Ambiance" fld="3" subtotal="average" baseField="13" baseItem="0" numFmtId="2"/>
    <dataField name="Avg First Impression" fld="4" subtotal="average" baseField="13" baseItem="0" numFmtId="2"/>
    <dataField name="Avg DISCOVERY" fld="5" subtotal="average" baseField="13" baseItem="0" numFmtId="2"/>
    <dataField name="Avg RECOMMENDATIONS" fld="6" subtotal="average" baseField="13" baseItem="0" numFmtId="2"/>
    <dataField name="Avg Overall Assistance" fld="81" subtotal="average" baseField="13" baseItem="0" numFmtId="2"/>
  </dataFields>
  <conditionalFormats count="1">
    <conditionalFormat priority="1">
      <pivotAreas count="1">
        <pivotArea type="data" collapsedLevelsAreSubtotals="1" fieldPosition="0">
          <references count="1">
            <reference field="13"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E4E90B-6F0C-491C-997B-D78E36175A02}" name="PivotTable3"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29:B52" firstHeaderRow="1" firstDataRow="1" firstDataCol="1"/>
  <pivotFields count="83">
    <pivotField showAll="0"/>
    <pivotField axis="axisRow" showAll="0" defaultSubtotal="0">
      <items count="22">
        <item x="0"/>
        <item x="3"/>
        <item x="11"/>
        <item x="1"/>
        <item x="9"/>
        <item x="6"/>
        <item x="5"/>
        <item x="8"/>
        <item x="2"/>
        <item x="7"/>
        <item x="16"/>
        <item x="15"/>
        <item x="4"/>
        <item x="14"/>
        <item x="12"/>
        <item x="13"/>
        <item x="10"/>
        <item x="17"/>
        <item x="18"/>
        <item x="19"/>
        <item x="21"/>
        <item x="20"/>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2" subtotal="average" baseField="1" baseItem="1"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C269ED-BD44-4E8E-BBF2-8008A5C5E245}" name="PivotTable2"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rowHeaderCaption="Zone">
  <location ref="F3:K9" firstHeaderRow="1" firstDataRow="2" firstDataCol="1"/>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Performance_Grade" fld="82" subtotal="count" showDataAs="percentOfRow" baseField="0" baseItem="0" numFmtId="10"/>
  </dataFields>
  <chartFormats count="40">
    <chartFormat chart="0" format="0" series="1">
      <pivotArea type="data" outline="0" fieldPosition="0">
        <references count="2">
          <reference field="4294967294" count="1" selected="0">
            <x v="0"/>
          </reference>
          <reference field="82" count="1" selected="0">
            <x v="0"/>
          </reference>
        </references>
      </pivotArea>
    </chartFormat>
    <chartFormat chart="0" format="1" series="1">
      <pivotArea type="data" outline="0" fieldPosition="0">
        <references count="2">
          <reference field="4294967294" count="1" selected="0">
            <x v="0"/>
          </reference>
          <reference field="82" count="1" selected="0">
            <x v="1"/>
          </reference>
        </references>
      </pivotArea>
    </chartFormat>
    <chartFormat chart="0" format="2" series="1">
      <pivotArea type="data" outline="0" fieldPosition="0">
        <references count="2">
          <reference field="4294967294" count="1" selected="0">
            <x v="0"/>
          </reference>
          <reference field="82" count="1" selected="0">
            <x v="2"/>
          </reference>
        </references>
      </pivotArea>
    </chartFormat>
    <chartFormat chart="0" format="3" series="1">
      <pivotArea type="data" outline="0" fieldPosition="0">
        <references count="2">
          <reference field="4294967294" count="1" selected="0">
            <x v="0"/>
          </reference>
          <reference field="82" count="1" selected="0">
            <x v="3"/>
          </reference>
        </references>
      </pivotArea>
    </chartFormat>
    <chartFormat chart="3" format="0" series="1">
      <pivotArea type="data" outline="0" fieldPosition="0">
        <references count="2">
          <reference field="4294967294" count="1" selected="0">
            <x v="0"/>
          </reference>
          <reference field="82" count="1" selected="0">
            <x v="0"/>
          </reference>
        </references>
      </pivotArea>
    </chartFormat>
    <chartFormat chart="3" format="1" series="1">
      <pivotArea type="data" outline="0" fieldPosition="0">
        <references count="2">
          <reference field="4294967294" count="1" selected="0">
            <x v="0"/>
          </reference>
          <reference field="82" count="1" selected="0">
            <x v="1"/>
          </reference>
        </references>
      </pivotArea>
    </chartFormat>
    <chartFormat chart="3" format="2" series="1">
      <pivotArea type="data" outline="0" fieldPosition="0">
        <references count="2">
          <reference field="4294967294" count="1" selected="0">
            <x v="0"/>
          </reference>
          <reference field="82" count="1" selected="0">
            <x v="2"/>
          </reference>
        </references>
      </pivotArea>
    </chartFormat>
    <chartFormat chart="3" format="3" series="1">
      <pivotArea type="data" outline="0" fieldPosition="0">
        <references count="2">
          <reference field="4294967294" count="1" selected="0">
            <x v="0"/>
          </reference>
          <reference field="82" count="1" selected="0">
            <x v="3"/>
          </reference>
        </references>
      </pivotArea>
    </chartFormat>
    <chartFormat chart="5" format="0" series="1">
      <pivotArea type="data" outline="0" fieldPosition="0">
        <references count="2">
          <reference field="4294967294" count="1" selected="0">
            <x v="0"/>
          </reference>
          <reference field="82" count="1" selected="0">
            <x v="0"/>
          </reference>
        </references>
      </pivotArea>
    </chartFormat>
    <chartFormat chart="5" format="1" series="1">
      <pivotArea type="data" outline="0" fieldPosition="0">
        <references count="2">
          <reference field="4294967294" count="1" selected="0">
            <x v="0"/>
          </reference>
          <reference field="82" count="1" selected="0">
            <x v="1"/>
          </reference>
        </references>
      </pivotArea>
    </chartFormat>
    <chartFormat chart="5" format="2" series="1">
      <pivotArea type="data" outline="0" fieldPosition="0">
        <references count="2">
          <reference field="4294967294" count="1" selected="0">
            <x v="0"/>
          </reference>
          <reference field="82" count="1" selected="0">
            <x v="2"/>
          </reference>
        </references>
      </pivotArea>
    </chartFormat>
    <chartFormat chart="5" format="3" series="1">
      <pivotArea type="data" outline="0" fieldPosition="0">
        <references count="2">
          <reference field="4294967294" count="1" selected="0">
            <x v="0"/>
          </reference>
          <reference field="82" count="1" selected="0">
            <x v="3"/>
          </reference>
        </references>
      </pivotArea>
    </chartFormat>
    <chartFormat chart="7" format="0" series="1">
      <pivotArea type="data" outline="0" fieldPosition="0">
        <references count="2">
          <reference field="4294967294" count="1" selected="0">
            <x v="0"/>
          </reference>
          <reference field="82" count="1" selected="0">
            <x v="0"/>
          </reference>
        </references>
      </pivotArea>
    </chartFormat>
    <chartFormat chart="7" format="1" series="1">
      <pivotArea type="data" outline="0" fieldPosition="0">
        <references count="2">
          <reference field="4294967294" count="1" selected="0">
            <x v="0"/>
          </reference>
          <reference field="82" count="1" selected="0">
            <x v="1"/>
          </reference>
        </references>
      </pivotArea>
    </chartFormat>
    <chartFormat chart="7" format="2" series="1">
      <pivotArea type="data" outline="0" fieldPosition="0">
        <references count="2">
          <reference field="4294967294" count="1" selected="0">
            <x v="0"/>
          </reference>
          <reference field="82" count="1" selected="0">
            <x v="2"/>
          </reference>
        </references>
      </pivotArea>
    </chartFormat>
    <chartFormat chart="7" format="3" series="1">
      <pivotArea type="data" outline="0" fieldPosition="0">
        <references count="2">
          <reference field="4294967294" count="1" selected="0">
            <x v="0"/>
          </reference>
          <reference field="82" count="1" selected="0">
            <x v="3"/>
          </reference>
        </references>
      </pivotArea>
    </chartFormat>
    <chartFormat chart="8" format="0" series="1">
      <pivotArea type="data" outline="0" fieldPosition="0">
        <references count="2">
          <reference field="4294967294" count="1" selected="0">
            <x v="0"/>
          </reference>
          <reference field="82" count="1" selected="0">
            <x v="0"/>
          </reference>
        </references>
      </pivotArea>
    </chartFormat>
    <chartFormat chart="8" format="1" series="1">
      <pivotArea type="data" outline="0" fieldPosition="0">
        <references count="2">
          <reference field="4294967294" count="1" selected="0">
            <x v="0"/>
          </reference>
          <reference field="82" count="1" selected="0">
            <x v="1"/>
          </reference>
        </references>
      </pivotArea>
    </chartFormat>
    <chartFormat chart="8" format="2" series="1">
      <pivotArea type="data" outline="0" fieldPosition="0">
        <references count="2">
          <reference field="4294967294" count="1" selected="0">
            <x v="0"/>
          </reference>
          <reference field="82" count="1" selected="0">
            <x v="2"/>
          </reference>
        </references>
      </pivotArea>
    </chartFormat>
    <chartFormat chart="8" format="3" series="1">
      <pivotArea type="data" outline="0" fieldPosition="0">
        <references count="2">
          <reference field="4294967294" count="1" selected="0">
            <x v="0"/>
          </reference>
          <reference field="82" count="1" selected="0">
            <x v="3"/>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2"/>
          </reference>
        </references>
      </pivotArea>
    </chartFormat>
    <chartFormat chart="8" format="7" series="1">
      <pivotArea type="data" outline="0" fieldPosition="0">
        <references count="2">
          <reference field="4294967294" count="1" selected="0">
            <x v="0"/>
          </reference>
          <reference field="13" count="1" selected="0">
            <x v="3"/>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2"/>
          </reference>
        </references>
      </pivotArea>
    </chartFormat>
    <chartFormat chart="7" format="7" series="1">
      <pivotArea type="data" outline="0" fieldPosition="0">
        <references count="2">
          <reference field="4294967294" count="1" selected="0">
            <x v="0"/>
          </reference>
          <reference field="13" count="1" selected="0">
            <x v="3"/>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2"/>
          </reference>
        </references>
      </pivotArea>
    </chartFormat>
    <chartFormat chart="5" format="7" series="1">
      <pivotArea type="data" outline="0" fieldPosition="0">
        <references count="2">
          <reference field="4294967294" count="1" selected="0">
            <x v="0"/>
          </reference>
          <reference field="13" count="1" selected="0">
            <x v="3"/>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2"/>
          </reference>
        </references>
      </pivotArea>
    </chartFormat>
    <chartFormat chart="3" format="7"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2"/>
          </reference>
        </references>
      </pivotArea>
    </chartFormat>
    <chartFormat chart="0" format="7"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CB0F61-AC0E-417B-852D-F52447D7C4F9}" name="PivotTable1"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rowHeaderCaption="Zone">
  <location ref="A3:B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Evaluation_Score" fld="2" subtotal="average" baseField="13"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J22" sqref="J22"/>
    </sheetView>
  </sheetViews>
  <sheetFormatPr defaultRowHeight="15" x14ac:dyDescent="0.25"/>
  <cols>
    <col min="1" max="1" width="13.140625" bestFit="1" customWidth="1"/>
    <col min="2" max="2" width="21.5703125" bestFit="1" customWidth="1"/>
    <col min="3" max="3" width="17.42578125" bestFit="1" customWidth="1"/>
    <col min="4" max="4" width="14.7109375" bestFit="1" customWidth="1"/>
    <col min="5" max="5" width="14.28515625" bestFit="1" customWidth="1"/>
    <col min="6" max="6" width="11.28515625" bestFit="1" customWidth="1"/>
  </cols>
  <sheetData>
    <row r="3" spans="1:2" x14ac:dyDescent="0.25">
      <c r="A3" s="4" t="s">
        <v>780</v>
      </c>
      <c r="B3" t="s">
        <v>784</v>
      </c>
    </row>
    <row r="4" spans="1:2" x14ac:dyDescent="0.25">
      <c r="A4" s="5" t="s">
        <v>433</v>
      </c>
      <c r="B4" s="6">
        <v>1</v>
      </c>
    </row>
    <row r="5" spans="1:2" x14ac:dyDescent="0.25">
      <c r="A5" s="5" t="s">
        <v>85</v>
      </c>
      <c r="B5" s="6">
        <v>1</v>
      </c>
    </row>
    <row r="6" spans="1:2" x14ac:dyDescent="0.25">
      <c r="A6" s="5" t="s">
        <v>169</v>
      </c>
      <c r="B6" s="6">
        <v>1</v>
      </c>
    </row>
    <row r="7" spans="1:2" x14ac:dyDescent="0.25">
      <c r="A7" s="5" t="s">
        <v>109</v>
      </c>
      <c r="B7" s="6">
        <v>1</v>
      </c>
    </row>
    <row r="8" spans="1:2" x14ac:dyDescent="0.25">
      <c r="A8" s="5" t="s">
        <v>781</v>
      </c>
      <c r="B8"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5" x14ac:dyDescent="0.25"/>
  <cols>
    <col min="1" max="1" width="13.140625" bestFit="1" customWidth="1"/>
    <col min="2" max="2" width="26.7109375" bestFit="1" customWidth="1"/>
  </cols>
  <sheetData>
    <row r="1" spans="1:2" x14ac:dyDescent="0.25">
      <c r="A1" s="4" t="s">
        <v>780</v>
      </c>
      <c r="B1" t="s">
        <v>782</v>
      </c>
    </row>
    <row r="2" spans="1:2" x14ac:dyDescent="0.25">
      <c r="A2" s="5" t="s">
        <v>433</v>
      </c>
      <c r="B2">
        <v>71.571428571428569</v>
      </c>
    </row>
    <row r="3" spans="1:2" x14ac:dyDescent="0.25">
      <c r="A3" s="5" t="s">
        <v>85</v>
      </c>
      <c r="B3">
        <v>76.736842105263165</v>
      </c>
    </row>
    <row r="4" spans="1:2" x14ac:dyDescent="0.25">
      <c r="A4" s="5" t="s">
        <v>169</v>
      </c>
      <c r="B4">
        <v>66.611111111111114</v>
      </c>
    </row>
    <row r="5" spans="1:2" x14ac:dyDescent="0.25">
      <c r="A5" s="5" t="s">
        <v>109</v>
      </c>
      <c r="B5">
        <v>71.82352941176471</v>
      </c>
    </row>
    <row r="6" spans="1:2" x14ac:dyDescent="0.25">
      <c r="A6" s="5"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zoomScale="85" zoomScaleNormal="85" workbookViewId="0">
      <selection activeCell="C7" sqref="A1:CE62"/>
    </sheetView>
  </sheetViews>
  <sheetFormatPr defaultRowHeight="15" x14ac:dyDescent="0.25"/>
  <cols>
    <col min="1" max="1" width="14" bestFit="1" customWidth="1"/>
    <col min="2" max="2" width="16.42578125" bestFit="1" customWidth="1"/>
    <col min="3" max="3" width="17" bestFit="1" customWidth="1"/>
    <col min="4" max="4" width="18.140625" bestFit="1" customWidth="1"/>
    <col min="5" max="5" width="19.42578125" bestFit="1" customWidth="1"/>
    <col min="6" max="6" width="11.7109375" bestFit="1" customWidth="1"/>
    <col min="7" max="7" width="21.42578125" bestFit="1" customWidth="1"/>
    <col min="8" max="8" width="28.28515625" hidden="1" customWidth="1"/>
    <col min="9" max="9" width="22.7109375" hidden="1" customWidth="1"/>
    <col min="10" max="10" width="17.7109375" hidden="1" customWidth="1"/>
    <col min="11" max="11" width="22" hidden="1" customWidth="1"/>
    <col min="12" max="12" width="14.28515625" hidden="1" customWidth="1"/>
    <col min="13" max="13" width="16.42578125" hidden="1" customWidth="1"/>
    <col min="14" max="14" width="0" hidden="1" customWidth="1"/>
    <col min="15" max="15" width="17.42578125" hidden="1" customWidth="1"/>
    <col min="16" max="16" width="14" hidden="1" customWidth="1"/>
    <col min="17" max="17" width="12.5703125" hidden="1" customWidth="1"/>
    <col min="18" max="18" width="16.5703125" hidden="1" customWidth="1"/>
    <col min="19" max="19" width="66.28515625" hidden="1" customWidth="1"/>
    <col min="20" max="20" width="63" hidden="1" customWidth="1"/>
    <col min="21" max="21" width="18.7109375" hidden="1" customWidth="1"/>
    <col min="22" max="22" width="18.28515625" hidden="1" customWidth="1"/>
    <col min="23" max="23" width="183.140625" hidden="1" customWidth="1"/>
    <col min="24" max="24" width="46.28515625" hidden="1" customWidth="1"/>
    <col min="25" max="25" width="228" hidden="1" customWidth="1"/>
    <col min="26" max="26" width="48.28515625" hidden="1" customWidth="1"/>
    <col min="27" max="27" width="63.42578125" hidden="1" customWidth="1"/>
    <col min="28" max="28" width="87.140625" hidden="1" customWidth="1"/>
    <col min="29" max="29" width="46.5703125" hidden="1" customWidth="1"/>
    <col min="30" max="30" width="67.85546875" hidden="1" customWidth="1"/>
    <col min="31" max="31" width="47.28515625" hidden="1" customWidth="1"/>
    <col min="32" max="32" width="105.42578125" hidden="1" customWidth="1"/>
    <col min="33" max="33" width="73.85546875" hidden="1" customWidth="1"/>
    <col min="34" max="34" width="83.5703125" hidden="1" customWidth="1"/>
    <col min="35" max="35" width="255.7109375" hidden="1" customWidth="1"/>
    <col min="36" max="36" width="90.140625" hidden="1" customWidth="1"/>
    <col min="37" max="37" width="52.85546875" hidden="1" customWidth="1"/>
    <col min="38" max="38" width="59.7109375" hidden="1" customWidth="1"/>
    <col min="39" max="39" width="155.7109375" hidden="1" customWidth="1"/>
    <col min="40" max="40" width="65.42578125" hidden="1" customWidth="1"/>
    <col min="41" max="41" width="49.28515625" hidden="1" customWidth="1"/>
    <col min="42" max="42" width="105.7109375" hidden="1" customWidth="1"/>
    <col min="43" max="43" width="184.28515625" hidden="1" customWidth="1"/>
    <col min="44" max="44" width="100.28515625" hidden="1" customWidth="1"/>
    <col min="45" max="45" width="217.7109375" hidden="1" customWidth="1"/>
    <col min="46" max="46" width="92.140625" hidden="1" customWidth="1"/>
    <col min="47" max="47" width="255.7109375" hidden="1" customWidth="1"/>
    <col min="48" max="48" width="78.7109375" hidden="1" customWidth="1"/>
    <col min="49" max="49" width="255.7109375" hidden="1" customWidth="1"/>
    <col min="50" max="50" width="131.28515625" hidden="1" customWidth="1"/>
    <col min="51" max="51" width="255.7109375" hidden="1" customWidth="1"/>
    <col min="52" max="52" width="74.42578125" hidden="1" customWidth="1"/>
    <col min="53" max="53" width="90.28515625" hidden="1" customWidth="1"/>
    <col min="54" max="54" width="234.28515625" hidden="1" customWidth="1"/>
    <col min="55" max="55" width="51" hidden="1" customWidth="1"/>
    <col min="56" max="56" width="60.42578125" hidden="1" customWidth="1"/>
    <col min="57" max="57" width="61.5703125" hidden="1" customWidth="1"/>
    <col min="58" max="58" width="105.85546875" hidden="1" customWidth="1"/>
    <col min="59" max="59" width="62" hidden="1" customWidth="1"/>
    <col min="60" max="60" width="98.5703125" hidden="1" customWidth="1"/>
    <col min="61" max="61" width="120.140625" hidden="1" customWidth="1"/>
    <col min="62" max="62" width="133" hidden="1" customWidth="1"/>
    <col min="63" max="64" width="255.7109375" hidden="1" customWidth="1"/>
    <col min="65" max="65" width="84.42578125" hidden="1" customWidth="1"/>
    <col min="66" max="66" width="31.5703125" hidden="1" customWidth="1"/>
    <col min="67" max="67" width="121.7109375" hidden="1" customWidth="1"/>
    <col min="68" max="68" width="105" hidden="1" customWidth="1"/>
    <col min="69" max="69" width="74.28515625" hidden="1" customWidth="1"/>
    <col min="70" max="70" width="255.7109375" hidden="1" customWidth="1"/>
    <col min="71" max="71" width="63" hidden="1" customWidth="1"/>
    <col min="72" max="72" width="79" hidden="1" customWidth="1"/>
    <col min="73" max="73" width="78" hidden="1" customWidth="1"/>
    <col min="74" max="74" width="67.42578125" hidden="1" customWidth="1"/>
    <col min="75" max="75" width="73.5703125" hidden="1" customWidth="1"/>
    <col min="76" max="76" width="121.28515625" hidden="1" customWidth="1"/>
    <col min="77" max="77" width="122.28515625" hidden="1" customWidth="1"/>
    <col min="78" max="78" width="56.28515625" hidden="1" customWidth="1"/>
    <col min="79" max="79" width="109.140625" hidden="1" customWidth="1"/>
    <col min="80" max="80" width="84" hidden="1" customWidth="1"/>
    <col min="81" max="81" width="101.5703125" hidden="1" customWidth="1"/>
    <col min="82" max="82" width="88" customWidth="1"/>
    <col min="83" max="83" width="22.7109375" customWidth="1"/>
  </cols>
  <sheetData>
    <row r="1" spans="1:83" s="3" customFormat="1"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7" t="s">
        <v>785</v>
      </c>
    </row>
    <row r="2" spans="1:83" x14ac:dyDescent="0.25">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t="str" cm="1">
        <f t="array" ref="CE2">_xlfn.IFS(
AND(C2&gt;=90,C2&lt;=100),"High Performer",
AND(C2&gt;=70,C2&lt;=89),"Average Performer",
AND(C2&gt;=50,C2&lt;=69),"Low Performer",
C2&lt;50,"Bottom Performer"
)</f>
        <v>Low Performer</v>
      </c>
    </row>
    <row r="3" spans="1:83" x14ac:dyDescent="0.25">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t="str" cm="1">
        <f t="array" ref="CE3">_xlfn.IFS(
AND(C3&gt;=90,C3&lt;=100),"High Performer",
AND(C3&gt;=70,C3&lt;=89),"Average Performer",
AND(C3&gt;=50,C3&lt;=69),"Low Performer",
C3&lt;50,"Bottom Performer"
)</f>
        <v>Average Performer</v>
      </c>
    </row>
    <row r="4" spans="1:83" x14ac:dyDescent="0.25">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t="str" cm="1">
        <f t="array" ref="CE4">_xlfn.IFS(
AND(C4&gt;=90,C4&lt;=100),"High Performer",
AND(C4&gt;=70,C4&lt;=89),"Average Performer",
AND(C4&gt;=50,C4&lt;=69),"Low Performer",
C4&lt;50,"Bottom Performer"
)</f>
        <v>Average Performer</v>
      </c>
    </row>
    <row r="5" spans="1:83" x14ac:dyDescent="0.25">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t="str" cm="1">
        <f t="array" ref="CE5">_xlfn.IFS(
AND(C5&gt;=90,C5&lt;=100),"High Performer",
AND(C5&gt;=70,C5&lt;=89),"Average Performer",
AND(C5&gt;=50,C5&lt;=69),"Low Performer",
C5&lt;50,"Bottom Performer"
)</f>
        <v>Average Performer</v>
      </c>
    </row>
    <row r="6" spans="1:83" x14ac:dyDescent="0.25">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t="str" cm="1">
        <f t="array" ref="CE6">_xlfn.IFS(
AND(C6&gt;=90,C6&lt;=100),"High Performer",
AND(C6&gt;=70,C6&lt;=89),"Average Performer",
AND(C6&gt;=50,C6&lt;=69),"Low Performer",
C6&lt;50,"Bottom Performer"
)</f>
        <v>Average Performer</v>
      </c>
    </row>
    <row r="7" spans="1:83" x14ac:dyDescent="0.25">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t="str" cm="1">
        <f t="array" ref="CE7">_xlfn.IFS(
AND(C7&gt;=90,C7&lt;=100),"High Performer",
AND(C7&gt;=70,C7&lt;=89),"Average Performer",
AND(C7&gt;=50,C7&lt;=69),"Low Performer",
C7&lt;50,"Bottom Performer"
)</f>
        <v>High Performer</v>
      </c>
    </row>
    <row r="8" spans="1:83" x14ac:dyDescent="0.25">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t="str" cm="1">
        <f t="array" ref="CE8">_xlfn.IFS(
AND(C8&gt;=90,C8&lt;=100),"High Performer",
AND(C8&gt;=70,C8&lt;=89),"Average Performer",
AND(C8&gt;=50,C8&lt;=69),"Low Performer",
C8&lt;50,"Bottom Performer"
)</f>
        <v>Bottom Performer</v>
      </c>
    </row>
    <row r="9" spans="1:83" x14ac:dyDescent="0.25">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t="str" cm="1">
        <f t="array" ref="CE9">_xlfn.IFS(
AND(C9&gt;=90,C9&lt;=100),"High Performer",
AND(C9&gt;=70,C9&lt;=89),"Average Performer",
AND(C9&gt;=50,C9&lt;=69),"Low Performer",
C9&lt;50,"Bottom Performer"
)</f>
        <v>Bottom Performer</v>
      </c>
    </row>
    <row r="10" spans="1:83" x14ac:dyDescent="0.25">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t="str" cm="1">
        <f t="array" ref="CE10">_xlfn.IFS(
AND(C10&gt;=90,C10&lt;=100),"High Performer",
AND(C10&gt;=70,C10&lt;=89),"Average Performer",
AND(C10&gt;=50,C10&lt;=69),"Low Performer",
C10&lt;50,"Bottom Performer"
)</f>
        <v>Average Performer</v>
      </c>
    </row>
    <row r="11" spans="1:83" x14ac:dyDescent="0.25">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t="str" cm="1">
        <f t="array" ref="CE11">_xlfn.IFS(
AND(C11&gt;=90,C11&lt;=100),"High Performer",
AND(C11&gt;=70,C11&lt;=89),"Average Performer",
AND(C11&gt;=50,C11&lt;=69),"Low Performer",
C11&lt;50,"Bottom Performer"
)</f>
        <v>Average Performer</v>
      </c>
    </row>
    <row r="12" spans="1:83" x14ac:dyDescent="0.25">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t="str" cm="1">
        <f t="array" ref="CE12">_xlfn.IFS(
AND(C12&gt;=90,C12&lt;=100),"High Performer",
AND(C12&gt;=70,C12&lt;=89),"Average Performer",
AND(C12&gt;=50,C12&lt;=69),"Low Performer",
C12&lt;50,"Bottom Performer"
)</f>
        <v>Average Performer</v>
      </c>
    </row>
    <row r="13" spans="1:83" x14ac:dyDescent="0.25">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t="str" cm="1">
        <f t="array" ref="CE13">_xlfn.IFS(
AND(C13&gt;=90,C13&lt;=100),"High Performer",
AND(C13&gt;=70,C13&lt;=89),"Average Performer",
AND(C13&gt;=50,C13&lt;=69),"Low Performer",
C13&lt;50,"Bottom Performer"
)</f>
        <v>Average Performer</v>
      </c>
    </row>
    <row r="14" spans="1:83" x14ac:dyDescent="0.25">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t="str" cm="1">
        <f t="array" ref="CE14">_xlfn.IFS(
AND(C14&gt;=90,C14&lt;=100),"High Performer",
AND(C14&gt;=70,C14&lt;=89),"Average Performer",
AND(C14&gt;=50,C14&lt;=69),"Low Performer",
C14&lt;50,"Bottom Performer"
)</f>
        <v>Average Performer</v>
      </c>
    </row>
    <row r="15" spans="1:83" x14ac:dyDescent="0.25">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t="str" cm="1">
        <f t="array" ref="CE15">_xlfn.IFS(
AND(C15&gt;=90,C15&lt;=100),"High Performer",
AND(C15&gt;=70,C15&lt;=89),"Average Performer",
AND(C15&gt;=50,C15&lt;=69),"Low Performer",
C15&lt;50,"Bottom Performer"
)</f>
        <v>Average Performer</v>
      </c>
    </row>
    <row r="16" spans="1:83" x14ac:dyDescent="0.25">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t="str" cm="1">
        <f t="array" ref="CE16">_xlfn.IFS(
AND(C16&gt;=90,C16&lt;=100),"High Performer",
AND(C16&gt;=70,C16&lt;=89),"Average Performer",
AND(C16&gt;=50,C16&lt;=69),"Low Performer",
C16&lt;50,"Bottom Performer"
)</f>
        <v>Low Performer</v>
      </c>
    </row>
    <row r="17" spans="1:83" x14ac:dyDescent="0.25">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c r="CE17" t="str" cm="1">
        <f t="array" ref="CE17">_xlfn.IFS(
AND(C17&gt;=90,C17&lt;=100),"High Performer",
AND(C17&gt;=70,C17&lt;=89),"Average Performer",
AND(C17&gt;=50,C17&lt;=69),"Low Performer",
C17&lt;50,"Bottom Performer"
)</f>
        <v>Average Performer</v>
      </c>
    </row>
    <row r="18" spans="1:83" x14ac:dyDescent="0.25">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c r="CE18" t="str" cm="1">
        <f t="array" ref="CE18">_xlfn.IFS(
AND(C18&gt;=90,C18&lt;=100),"High Performer",
AND(C18&gt;=70,C18&lt;=89),"Average Performer",
AND(C18&gt;=50,C18&lt;=69),"Low Performer",
C18&lt;50,"Bottom Performer"
)</f>
        <v>Average Performer</v>
      </c>
    </row>
    <row r="19" spans="1:83" x14ac:dyDescent="0.25">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c r="CE19" t="str" cm="1">
        <f t="array" ref="CE19">_xlfn.IFS(
AND(C19&gt;=90,C19&lt;=100),"High Performer",
AND(C19&gt;=70,C19&lt;=89),"Average Performer",
AND(C19&gt;=50,C19&lt;=69),"Low Performer",
C19&lt;50,"Bottom Performer"
)</f>
        <v>Low Performer</v>
      </c>
    </row>
    <row r="20" spans="1:83" x14ac:dyDescent="0.25">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c r="CE20" t="str" cm="1">
        <f t="array" ref="CE20">_xlfn.IFS(
AND(C20&gt;=90,C20&lt;=100),"High Performer",
AND(C20&gt;=70,C20&lt;=89),"Average Performer",
AND(C20&gt;=50,C20&lt;=69),"Low Performer",
C20&lt;50,"Bottom Performer"
)</f>
        <v>Average Performer</v>
      </c>
    </row>
    <row r="21" spans="1:83" x14ac:dyDescent="0.25">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c r="CE21" t="str" cm="1">
        <f t="array" ref="CE21">_xlfn.IFS(
AND(C21&gt;=90,C21&lt;=100),"High Performer",
AND(C21&gt;=70,C21&lt;=89),"Average Performer",
AND(C21&gt;=50,C21&lt;=69),"Low Performer",
C21&lt;50,"Bottom Performer"
)</f>
        <v>Average Performer</v>
      </c>
    </row>
    <row r="22" spans="1:83" x14ac:dyDescent="0.25">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c r="CE22" t="str" cm="1">
        <f t="array" ref="CE22">_xlfn.IFS(
AND(C22&gt;=90,C22&lt;=100),"High Performer",
AND(C22&gt;=70,C22&lt;=89),"Average Performer",
AND(C22&gt;=50,C22&lt;=69),"Low Performer",
C22&lt;50,"Bottom Performer"
)</f>
        <v>Average Performer</v>
      </c>
    </row>
    <row r="23" spans="1:83" x14ac:dyDescent="0.25">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c r="CE23" t="str" cm="1">
        <f t="array" ref="CE23">_xlfn.IFS(
AND(C23&gt;=90,C23&lt;=100),"High Performer",
AND(C23&gt;=70,C23&lt;=89),"Average Performer",
AND(C23&gt;=50,C23&lt;=69),"Low Performer",
C23&lt;50,"Bottom Performer"
)</f>
        <v>Average Performer</v>
      </c>
    </row>
    <row r="24" spans="1:83" x14ac:dyDescent="0.25">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c r="CE24" t="str" cm="1">
        <f t="array" ref="CE24">_xlfn.IFS(
AND(C24&gt;=90,C24&lt;=100),"High Performer",
AND(C24&gt;=70,C24&lt;=89),"Average Performer",
AND(C24&gt;=50,C24&lt;=69),"Low Performer",
C24&lt;50,"Bottom Performer"
)</f>
        <v>Low Performer</v>
      </c>
    </row>
    <row r="25" spans="1:83" x14ac:dyDescent="0.25">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c r="CE25" t="str" cm="1">
        <f t="array" ref="CE25">_xlfn.IFS(
AND(C25&gt;=90,C25&lt;=100),"High Performer",
AND(C25&gt;=70,C25&lt;=89),"Average Performer",
AND(C25&gt;=50,C25&lt;=69),"Low Performer",
C25&lt;50,"Bottom Performer"
)</f>
        <v>Low Performer</v>
      </c>
    </row>
    <row r="26" spans="1:83" x14ac:dyDescent="0.25">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c r="CE26" t="str" cm="1">
        <f t="array" ref="CE26">_xlfn.IFS(
AND(C26&gt;=90,C26&lt;=100),"High Performer",
AND(C26&gt;=70,C26&lt;=89),"Average Performer",
AND(C26&gt;=50,C26&lt;=69),"Low Performer",
C26&lt;50,"Bottom Performer"
)</f>
        <v>Average Performer</v>
      </c>
    </row>
    <row r="27" spans="1:83" x14ac:dyDescent="0.25">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c r="CE27" t="str" cm="1">
        <f t="array" ref="CE27">_xlfn.IFS(
AND(C27&gt;=90,C27&lt;=100),"High Performer",
AND(C27&gt;=70,C27&lt;=89),"Average Performer",
AND(C27&gt;=50,C27&lt;=69),"Low Performer",
C27&lt;50,"Bottom Performer"
)</f>
        <v>Average Performer</v>
      </c>
    </row>
    <row r="28" spans="1:83" x14ac:dyDescent="0.25">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t="str" cm="1">
        <f t="array" ref="CE28">_xlfn.IFS(
AND(C28&gt;=90,C28&lt;=100),"High Performer",
AND(C28&gt;=70,C28&lt;=89),"Average Performer",
AND(C28&gt;=50,C28&lt;=69),"Low Performer",
C28&lt;50,"Bottom Performer"
)</f>
        <v>High Performer</v>
      </c>
    </row>
    <row r="29" spans="1:83" x14ac:dyDescent="0.25">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t="str" cm="1">
        <f t="array" ref="CE29">_xlfn.IFS(
AND(C29&gt;=90,C29&lt;=100),"High Performer",
AND(C29&gt;=70,C29&lt;=89),"Average Performer",
AND(C29&gt;=50,C29&lt;=69),"Low Performer",
C29&lt;50,"Bottom Performer"
)</f>
        <v>Low Performer</v>
      </c>
    </row>
    <row r="30" spans="1:83" x14ac:dyDescent="0.25">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t="str" cm="1">
        <f t="array" ref="CE30">_xlfn.IFS(
AND(C30&gt;=90,C30&lt;=100),"High Performer",
AND(C30&gt;=70,C30&lt;=89),"Average Performer",
AND(C30&gt;=50,C30&lt;=69),"Low Performer",
C30&lt;50,"Bottom Performer"
)</f>
        <v>Bottom Performer</v>
      </c>
    </row>
    <row r="31" spans="1:83" x14ac:dyDescent="0.25">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t="str" cm="1">
        <f t="array" ref="CE31">_xlfn.IFS(
AND(C31&gt;=90,C31&lt;=100),"High Performer",
AND(C31&gt;=70,C31&lt;=89),"Average Performer",
AND(C31&gt;=50,C31&lt;=69),"Low Performer",
C31&lt;50,"Bottom Performer"
)</f>
        <v>Low Performer</v>
      </c>
    </row>
    <row r="32" spans="1:83" x14ac:dyDescent="0.25">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c r="CE32" t="str" cm="1">
        <f t="array" ref="CE32">_xlfn.IFS(
AND(C32&gt;=90,C32&lt;=100),"High Performer",
AND(C32&gt;=70,C32&lt;=89),"Average Performer",
AND(C32&gt;=50,C32&lt;=69),"Low Performer",
C32&lt;50,"Bottom Performer"
)</f>
        <v>Low Performer</v>
      </c>
    </row>
    <row r="33" spans="1:83" x14ac:dyDescent="0.25">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c r="CE33" t="str" cm="1">
        <f t="array" ref="CE33">_xlfn.IFS(
AND(C33&gt;=90,C33&lt;=100),"High Performer",
AND(C33&gt;=70,C33&lt;=89),"Average Performer",
AND(C33&gt;=50,C33&lt;=69),"Low Performer",
C33&lt;50,"Bottom Performer"
)</f>
        <v>Average Performer</v>
      </c>
    </row>
    <row r="34" spans="1:83" x14ac:dyDescent="0.25">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t="str" cm="1">
        <f t="array" ref="CE34">_xlfn.IFS(
AND(C34&gt;=90,C34&lt;=100),"High Performer",
AND(C34&gt;=70,C34&lt;=89),"Average Performer",
AND(C34&gt;=50,C34&lt;=69),"Low Performer",
C34&lt;50,"Bottom Performer"
)</f>
        <v>High Performer</v>
      </c>
    </row>
    <row r="35" spans="1:83" x14ac:dyDescent="0.25">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c r="CE35" t="str" cm="1">
        <f t="array" ref="CE35">_xlfn.IFS(
AND(C35&gt;=90,C35&lt;=100),"High Performer",
AND(C35&gt;=70,C35&lt;=89),"Average Performer",
AND(C35&gt;=50,C35&lt;=69),"Low Performer",
C35&lt;50,"Bottom Performer"
)</f>
        <v>Average Performer</v>
      </c>
    </row>
    <row r="36" spans="1:83" x14ac:dyDescent="0.25">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c r="CE36" t="str" cm="1">
        <f t="array" ref="CE36">_xlfn.IFS(
AND(C36&gt;=90,C36&lt;=100),"High Performer",
AND(C36&gt;=70,C36&lt;=89),"Average Performer",
AND(C36&gt;=50,C36&lt;=69),"Low Performer",
C36&lt;50,"Bottom Performer"
)</f>
        <v>Average Performer</v>
      </c>
    </row>
    <row r="37" spans="1:83" x14ac:dyDescent="0.25">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c r="CE37" t="str" cm="1">
        <f t="array" ref="CE37">_xlfn.IFS(
AND(C37&gt;=90,C37&lt;=100),"High Performer",
AND(C37&gt;=70,C37&lt;=89),"Average Performer",
AND(C37&gt;=50,C37&lt;=69),"Low Performer",
C37&lt;50,"Bottom Performer"
)</f>
        <v>Average Performer</v>
      </c>
    </row>
    <row r="38" spans="1:83" x14ac:dyDescent="0.25">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c r="CE38" t="str" cm="1">
        <f t="array" ref="CE38">_xlfn.IFS(
AND(C38&gt;=90,C38&lt;=100),"High Performer",
AND(C38&gt;=70,C38&lt;=89),"Average Performer",
AND(C38&gt;=50,C38&lt;=69),"Low Performer",
C38&lt;50,"Bottom Performer"
)</f>
        <v>Average Performer</v>
      </c>
    </row>
    <row r="39" spans="1:83" x14ac:dyDescent="0.25">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t="str" cm="1">
        <f t="array" ref="CE39">_xlfn.IFS(
AND(C39&gt;=90,C39&lt;=100),"High Performer",
AND(C39&gt;=70,C39&lt;=89),"Average Performer",
AND(C39&gt;=50,C39&lt;=69),"Low Performer",
C39&lt;50,"Bottom Performer"
)</f>
        <v>Bottom Performer</v>
      </c>
    </row>
    <row r="40" spans="1:83" x14ac:dyDescent="0.25">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c r="CE40" t="str" cm="1">
        <f t="array" ref="CE40">_xlfn.IFS(
AND(C40&gt;=90,C40&lt;=100),"High Performer",
AND(C40&gt;=70,C40&lt;=89),"Average Performer",
AND(C40&gt;=50,C40&lt;=69),"Low Performer",
C40&lt;50,"Bottom Performer"
)</f>
        <v>Average Performer</v>
      </c>
    </row>
    <row r="41" spans="1:83" x14ac:dyDescent="0.25">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c r="CE41" t="str" cm="1">
        <f t="array" ref="CE41">_xlfn.IFS(
AND(C41&gt;=90,C41&lt;=100),"High Performer",
AND(C41&gt;=70,C41&lt;=89),"Average Performer",
AND(C41&gt;=50,C41&lt;=69),"Low Performer",
C41&lt;50,"Bottom Performer"
)</f>
        <v>High Performer</v>
      </c>
    </row>
    <row r="42" spans="1:83" x14ac:dyDescent="0.25">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c r="CE42" t="str" cm="1">
        <f t="array" ref="CE42">_xlfn.IFS(
AND(C42&gt;=90,C42&lt;=100),"High Performer",
AND(C42&gt;=70,C42&lt;=89),"Average Performer",
AND(C42&gt;=50,C42&lt;=69),"Low Performer",
C42&lt;50,"Bottom Performer"
)</f>
        <v>High Performer</v>
      </c>
    </row>
    <row r="43" spans="1:83" x14ac:dyDescent="0.25">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c r="CE43" t="str" cm="1">
        <f t="array" ref="CE43">_xlfn.IFS(
AND(C43&gt;=90,C43&lt;=100),"High Performer",
AND(C43&gt;=70,C43&lt;=89),"Average Performer",
AND(C43&gt;=50,C43&lt;=69),"Low Performer",
C43&lt;50,"Bottom Performer"
)</f>
        <v>Low Performer</v>
      </c>
    </row>
    <row r="44" spans="1:83" x14ac:dyDescent="0.25">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t="str" cm="1">
        <f t="array" ref="CE44">_xlfn.IFS(
AND(C44&gt;=90,C44&lt;=100),"High Performer",
AND(C44&gt;=70,C44&lt;=89),"Average Performer",
AND(C44&gt;=50,C44&lt;=69),"Low Performer",
C44&lt;50,"Bottom Performer"
)</f>
        <v>Low Performer</v>
      </c>
    </row>
    <row r="45" spans="1:83" x14ac:dyDescent="0.25">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c r="CE45" t="str" cm="1">
        <f t="array" ref="CE45">_xlfn.IFS(
AND(C45&gt;=90,C45&lt;=100),"High Performer",
AND(C45&gt;=70,C45&lt;=89),"Average Performer",
AND(C45&gt;=50,C45&lt;=69),"Low Performer",
C45&lt;50,"Bottom Performer"
)</f>
        <v>High Performer</v>
      </c>
    </row>
    <row r="46" spans="1:83" x14ac:dyDescent="0.25">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t="str" cm="1">
        <f t="array" ref="CE46">_xlfn.IFS(
AND(C46&gt;=90,C46&lt;=100),"High Performer",
AND(C46&gt;=70,C46&lt;=89),"Average Performer",
AND(C46&gt;=50,C46&lt;=69),"Low Performer",
C46&lt;50,"Bottom Performer"
)</f>
        <v>Average Performer</v>
      </c>
    </row>
    <row r="47" spans="1:83" x14ac:dyDescent="0.25">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c r="CE47" t="str" cm="1">
        <f t="array" ref="CE47">_xlfn.IFS(
AND(C47&gt;=90,C47&lt;=100),"High Performer",
AND(C47&gt;=70,C47&lt;=89),"Average Performer",
AND(C47&gt;=50,C47&lt;=69),"Low Performer",
C47&lt;50,"Bottom Performer"
)</f>
        <v>High Performer</v>
      </c>
    </row>
    <row r="48" spans="1:83" x14ac:dyDescent="0.25">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c r="CE48" t="str" cm="1">
        <f t="array" ref="CE48">_xlfn.IFS(
AND(C48&gt;=90,C48&lt;=100),"High Performer",
AND(C48&gt;=70,C48&lt;=89),"Average Performer",
AND(C48&gt;=50,C48&lt;=69),"Low Performer",
C48&lt;50,"Bottom Performer"
)</f>
        <v>Bottom Performer</v>
      </c>
    </row>
    <row r="49" spans="1:83" x14ac:dyDescent="0.25">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t="str" cm="1">
        <f t="array" ref="CE49">_xlfn.IFS(
AND(C49&gt;=90,C49&lt;=100),"High Performer",
AND(C49&gt;=70,C49&lt;=89),"Average Performer",
AND(C49&gt;=50,C49&lt;=69),"Low Performer",
C49&lt;50,"Bottom Performer"
)</f>
        <v>Low Performer</v>
      </c>
    </row>
    <row r="50" spans="1:83" x14ac:dyDescent="0.25">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t="str" cm="1">
        <f t="array" ref="CE50">_xlfn.IFS(
AND(C50&gt;=90,C50&lt;=100),"High Performer",
AND(C50&gt;=70,C50&lt;=89),"Average Performer",
AND(C50&gt;=50,C50&lt;=69),"Low Performer",
C50&lt;50,"Bottom Performer"
)</f>
        <v>Low Performer</v>
      </c>
    </row>
    <row r="51" spans="1:83" x14ac:dyDescent="0.25">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c r="CE51" t="str" cm="1">
        <f t="array" ref="CE51">_xlfn.IFS(
AND(C51&gt;=90,C51&lt;=100),"High Performer",
AND(C51&gt;=70,C51&lt;=89),"Average Performer",
AND(C51&gt;=50,C51&lt;=69),"Low Performer",
C51&lt;50,"Bottom Performer"
)</f>
        <v>Low Performer</v>
      </c>
    </row>
    <row r="52" spans="1:83" x14ac:dyDescent="0.25">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c r="CE52" t="str" cm="1">
        <f t="array" ref="CE52">_xlfn.IFS(
AND(C52&gt;=90,C52&lt;=100),"High Performer",
AND(C52&gt;=70,C52&lt;=89),"Average Performer",
AND(C52&gt;=50,C52&lt;=69),"Low Performer",
C52&lt;50,"Bottom Performer"
)</f>
        <v>High Performer</v>
      </c>
    </row>
    <row r="53" spans="1:83" x14ac:dyDescent="0.25">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c r="CE53" t="str" cm="1">
        <f t="array" ref="CE53">_xlfn.IFS(
AND(C53&gt;=90,C53&lt;=100),"High Performer",
AND(C53&gt;=70,C53&lt;=89),"Average Performer",
AND(C53&gt;=50,C53&lt;=69),"Low Performer",
C53&lt;50,"Bottom Performer"
)</f>
        <v>High Performer</v>
      </c>
    </row>
    <row r="54" spans="1:83" x14ac:dyDescent="0.25">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t="str" cm="1">
        <f t="array" ref="CE54">_xlfn.IFS(
AND(C54&gt;=90,C54&lt;=100),"High Performer",
AND(C54&gt;=70,C54&lt;=89),"Average Performer",
AND(C54&gt;=50,C54&lt;=69),"Low Performer",
C54&lt;50,"Bottom Performer"
)</f>
        <v>Bottom Performer</v>
      </c>
    </row>
    <row r="55" spans="1:83" x14ac:dyDescent="0.25">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t="str" cm="1">
        <f t="array" ref="CE55">_xlfn.IFS(
AND(C55&gt;=90,C55&lt;=100),"High Performer",
AND(C55&gt;=70,C55&lt;=89),"Average Performer",
AND(C55&gt;=50,C55&lt;=69),"Low Performer",
C55&lt;50,"Bottom Performer"
)</f>
        <v>Low Performer</v>
      </c>
    </row>
    <row r="56" spans="1:83" x14ac:dyDescent="0.25">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c r="CE56" t="str" cm="1">
        <f t="array" ref="CE56">_xlfn.IFS(
AND(C56&gt;=90,C56&lt;=100),"High Performer",
AND(C56&gt;=70,C56&lt;=89),"Average Performer",
AND(C56&gt;=50,C56&lt;=69),"Low Performer",
C56&lt;50,"Bottom Performer"
)</f>
        <v>High Performer</v>
      </c>
    </row>
    <row r="57" spans="1:83" x14ac:dyDescent="0.25">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c r="CE57" t="str" cm="1">
        <f t="array" ref="CE57">_xlfn.IFS(
AND(C57&gt;=90,C57&lt;=100),"High Performer",
AND(C57&gt;=70,C57&lt;=89),"Average Performer",
AND(C57&gt;=50,C57&lt;=69),"Low Performer",
C57&lt;50,"Bottom Performer"
)</f>
        <v>Low Performer</v>
      </c>
    </row>
    <row r="58" spans="1:83" x14ac:dyDescent="0.25">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t="str" cm="1">
        <f t="array" ref="CE58">_xlfn.IFS(
AND(C58&gt;=90,C58&lt;=100),"High Performer",
AND(C58&gt;=70,C58&lt;=89),"Average Performer",
AND(C58&gt;=50,C58&lt;=69),"Low Performer",
C58&lt;50,"Bottom Performer"
)</f>
        <v>Average Performer</v>
      </c>
    </row>
    <row r="59" spans="1:83" x14ac:dyDescent="0.25">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t="str" cm="1">
        <f t="array" ref="CE59">_xlfn.IFS(
AND(C59&gt;=90,C59&lt;=100),"High Performer",
AND(C59&gt;=70,C59&lt;=89),"Average Performer",
AND(C59&gt;=50,C59&lt;=69),"Low Performer",
C59&lt;50,"Bottom Performer"
)</f>
        <v>Average Performer</v>
      </c>
    </row>
    <row r="60" spans="1:83" x14ac:dyDescent="0.25">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t="str" cm="1">
        <f t="array" ref="CE60">_xlfn.IFS(
AND(C60&gt;=90,C60&lt;=100),"High Performer",
AND(C60&gt;=70,C60&lt;=89),"Average Performer",
AND(C60&gt;=50,C60&lt;=69),"Low Performer",
C60&lt;50,"Bottom Performer"
)</f>
        <v>Bottom Performer</v>
      </c>
    </row>
    <row r="61" spans="1:83" x14ac:dyDescent="0.25">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t="str" cm="1">
        <f t="array" ref="CE61">_xlfn.IFS(
AND(C61&gt;=90,C61&lt;=100),"High Performer",
AND(C61&gt;=70,C61&lt;=89),"Average Performer",
AND(C61&gt;=50,C61&lt;=69),"Low Performer",
C61&lt;50,"Bottom Performer"
)</f>
        <v>Bottom Performer</v>
      </c>
    </row>
    <row r="62" spans="1:83" x14ac:dyDescent="0.25">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c r="CE62" t="str" cm="1">
        <f t="array" ref="CE62">_xlfn.IFS(
AND(C62&gt;=90,C62&lt;=100),"High Performer",
AND(C62&gt;=70,C62&lt;=89),"Average Performer",
AND(C62&gt;=50,C62&lt;=69),"Low Performer",
C62&lt;50,"Bottom Performer"
)</f>
        <v>Low Performer</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E9B56-D274-471F-965B-694A0E3CA717}">
  <dimension ref="A3:K78"/>
  <sheetViews>
    <sheetView tabSelected="1" topLeftCell="A75" zoomScale="85" zoomScaleNormal="85" workbookViewId="0">
      <selection activeCell="G26" sqref="G26"/>
    </sheetView>
  </sheetViews>
  <sheetFormatPr defaultRowHeight="15" x14ac:dyDescent="0.25"/>
  <cols>
    <col min="1" max="1" width="27.42578125" bestFit="1" customWidth="1"/>
    <col min="2" max="2" width="24.85546875" customWidth="1"/>
    <col min="3" max="3" width="19.28515625" customWidth="1"/>
    <col min="4" max="4" width="17" customWidth="1"/>
    <col min="5" max="5" width="21.140625" customWidth="1"/>
    <col min="6" max="6" width="22.85546875" customWidth="1"/>
    <col min="7" max="7" width="18.140625" bestFit="1" customWidth="1"/>
    <col min="8" max="8" width="17.42578125" bestFit="1" customWidth="1"/>
    <col min="9" max="9" width="14.7109375" bestFit="1" customWidth="1"/>
    <col min="10" max="10" width="14.28515625" bestFit="1" customWidth="1"/>
    <col min="11" max="11" width="11.28515625" bestFit="1" customWidth="1"/>
  </cols>
  <sheetData>
    <row r="3" spans="1:11" x14ac:dyDescent="0.25">
      <c r="A3" s="4" t="s">
        <v>13</v>
      </c>
      <c r="B3" t="s">
        <v>786</v>
      </c>
      <c r="F3" s="4" t="s">
        <v>787</v>
      </c>
      <c r="G3" s="4" t="s">
        <v>783</v>
      </c>
    </row>
    <row r="4" spans="1:11" x14ac:dyDescent="0.25">
      <c r="A4" s="5" t="s">
        <v>433</v>
      </c>
      <c r="B4" s="9">
        <v>71.571428571428569</v>
      </c>
      <c r="F4" s="4" t="s">
        <v>13</v>
      </c>
      <c r="G4" t="s">
        <v>777</v>
      </c>
      <c r="H4" t="s">
        <v>779</v>
      </c>
      <c r="I4" t="s">
        <v>776</v>
      </c>
      <c r="J4" t="s">
        <v>778</v>
      </c>
      <c r="K4" t="s">
        <v>781</v>
      </c>
    </row>
    <row r="5" spans="1:11" x14ac:dyDescent="0.25">
      <c r="A5" s="5" t="s">
        <v>85</v>
      </c>
      <c r="B5" s="9">
        <v>76.736842105263165</v>
      </c>
      <c r="F5" s="5" t="s">
        <v>433</v>
      </c>
      <c r="G5" s="6">
        <v>0.14285714285714285</v>
      </c>
      <c r="H5" s="6">
        <v>0.14285714285714285</v>
      </c>
      <c r="I5" s="6">
        <v>0.2857142857142857</v>
      </c>
      <c r="J5" s="6">
        <v>0.42857142857142855</v>
      </c>
      <c r="K5" s="6">
        <v>1</v>
      </c>
    </row>
    <row r="6" spans="1:11" x14ac:dyDescent="0.25">
      <c r="A6" s="5" t="s">
        <v>169</v>
      </c>
      <c r="B6" s="9">
        <v>66.611111111111114</v>
      </c>
      <c r="F6" s="5" t="s">
        <v>85</v>
      </c>
      <c r="G6" s="6">
        <v>0.47368421052631576</v>
      </c>
      <c r="H6" s="6">
        <v>5.2631578947368418E-2</v>
      </c>
      <c r="I6" s="6">
        <v>0.21052631578947367</v>
      </c>
      <c r="J6" s="6">
        <v>0.26315789473684209</v>
      </c>
      <c r="K6" s="6">
        <v>1</v>
      </c>
    </row>
    <row r="7" spans="1:11" x14ac:dyDescent="0.25">
      <c r="A7" s="5" t="s">
        <v>109</v>
      </c>
      <c r="B7" s="9">
        <v>71.82352941176471</v>
      </c>
      <c r="F7" s="5" t="s">
        <v>169</v>
      </c>
      <c r="G7" s="6">
        <v>0.3888888888888889</v>
      </c>
      <c r="H7" s="6">
        <v>0.16666666666666666</v>
      </c>
      <c r="I7" s="6">
        <v>0.1111111111111111</v>
      </c>
      <c r="J7" s="6">
        <v>0.33333333333333331</v>
      </c>
      <c r="K7" s="6">
        <v>1</v>
      </c>
    </row>
    <row r="8" spans="1:11" x14ac:dyDescent="0.25">
      <c r="A8" s="5" t="s">
        <v>781</v>
      </c>
      <c r="B8" s="9">
        <v>71.786885245901644</v>
      </c>
      <c r="F8" s="5" t="s">
        <v>109</v>
      </c>
      <c r="G8" s="6">
        <v>0.58823529411764708</v>
      </c>
      <c r="H8" s="6">
        <v>0.17647058823529413</v>
      </c>
      <c r="I8" s="6">
        <v>0.11764705882352941</v>
      </c>
      <c r="J8" s="6">
        <v>0.11764705882352941</v>
      </c>
      <c r="K8" s="6">
        <v>1</v>
      </c>
    </row>
    <row r="9" spans="1:11" x14ac:dyDescent="0.25">
      <c r="F9" s="5" t="s">
        <v>781</v>
      </c>
      <c r="G9" s="6">
        <v>0.44262295081967212</v>
      </c>
      <c r="H9" s="6">
        <v>0.13114754098360656</v>
      </c>
      <c r="I9" s="6">
        <v>0.16393442622950818</v>
      </c>
      <c r="J9" s="6">
        <v>0.26229508196721313</v>
      </c>
      <c r="K9" s="6">
        <v>1</v>
      </c>
    </row>
    <row r="12" spans="1:11" x14ac:dyDescent="0.25">
      <c r="G12" s="8" t="s">
        <v>13</v>
      </c>
      <c r="H12" s="8" t="s">
        <v>776</v>
      </c>
    </row>
    <row r="13" spans="1:11" x14ac:dyDescent="0.25">
      <c r="G13" s="5" t="s">
        <v>433</v>
      </c>
      <c r="H13" s="6">
        <v>0.2857142857142857</v>
      </c>
    </row>
    <row r="14" spans="1:11" x14ac:dyDescent="0.25">
      <c r="G14" s="5" t="s">
        <v>85</v>
      </c>
      <c r="H14" s="6">
        <v>0.21052631578947367</v>
      </c>
    </row>
    <row r="15" spans="1:11" x14ac:dyDescent="0.25">
      <c r="G15" s="5" t="s">
        <v>169</v>
      </c>
      <c r="H15" s="6">
        <v>0.1111111111111111</v>
      </c>
    </row>
    <row r="16" spans="1:11" x14ac:dyDescent="0.25">
      <c r="G16" s="5" t="s">
        <v>109</v>
      </c>
      <c r="H16" s="6">
        <v>0.11764705882352941</v>
      </c>
    </row>
    <row r="29" spans="1:2" x14ac:dyDescent="0.25">
      <c r="A29" s="4" t="s">
        <v>780</v>
      </c>
      <c r="B29" t="s">
        <v>782</v>
      </c>
    </row>
    <row r="30" spans="1:2" x14ac:dyDescent="0.25">
      <c r="A30" s="5" t="s">
        <v>82</v>
      </c>
      <c r="B30" s="9">
        <v>58</v>
      </c>
    </row>
    <row r="31" spans="1:2" x14ac:dyDescent="0.25">
      <c r="A31" s="5" t="s">
        <v>140</v>
      </c>
      <c r="B31" s="9">
        <v>68.5</v>
      </c>
    </row>
    <row r="32" spans="1:2" x14ac:dyDescent="0.25">
      <c r="A32" s="5" t="s">
        <v>454</v>
      </c>
      <c r="B32" s="9">
        <v>85.666666666666671</v>
      </c>
    </row>
    <row r="33" spans="1:2" x14ac:dyDescent="0.25">
      <c r="A33" s="5" t="s">
        <v>106</v>
      </c>
      <c r="B33" s="9">
        <v>72.333333333333329</v>
      </c>
    </row>
    <row r="34" spans="1:2" x14ac:dyDescent="0.25">
      <c r="A34" s="5" t="s">
        <v>329</v>
      </c>
      <c r="B34" s="9">
        <v>78</v>
      </c>
    </row>
    <row r="35" spans="1:2" x14ac:dyDescent="0.25">
      <c r="A35" s="5" t="s">
        <v>195</v>
      </c>
      <c r="B35" s="9">
        <v>73</v>
      </c>
    </row>
    <row r="36" spans="1:2" x14ac:dyDescent="0.25">
      <c r="A36" s="5" t="s">
        <v>166</v>
      </c>
      <c r="B36" s="9">
        <v>83.333333333333329</v>
      </c>
    </row>
    <row r="37" spans="1:2" x14ac:dyDescent="0.25">
      <c r="A37" s="5" t="s">
        <v>305</v>
      </c>
      <c r="B37" s="9">
        <v>63.5</v>
      </c>
    </row>
    <row r="38" spans="1:2" x14ac:dyDescent="0.25">
      <c r="A38" s="5" t="s">
        <v>125</v>
      </c>
      <c r="B38" s="9">
        <v>72</v>
      </c>
    </row>
    <row r="39" spans="1:2" x14ac:dyDescent="0.25">
      <c r="A39" s="5" t="s">
        <v>258</v>
      </c>
      <c r="B39" s="9">
        <v>66</v>
      </c>
    </row>
    <row r="40" spans="1:2" x14ac:dyDescent="0.25">
      <c r="A40" s="5" t="s">
        <v>634</v>
      </c>
      <c r="B40" s="9">
        <v>69</v>
      </c>
    </row>
    <row r="41" spans="1:2" x14ac:dyDescent="0.25">
      <c r="A41" s="5" t="s">
        <v>599</v>
      </c>
      <c r="B41" s="9">
        <v>86</v>
      </c>
    </row>
    <row r="42" spans="1:2" x14ac:dyDescent="0.25">
      <c r="A42" s="5" t="s">
        <v>153</v>
      </c>
      <c r="B42" s="9">
        <v>69.333333333333329</v>
      </c>
    </row>
    <row r="43" spans="1:2" x14ac:dyDescent="0.25">
      <c r="A43" s="5" t="s">
        <v>563</v>
      </c>
      <c r="B43" s="9">
        <v>52</v>
      </c>
    </row>
    <row r="44" spans="1:2" x14ac:dyDescent="0.25">
      <c r="A44" s="5" t="s">
        <v>487</v>
      </c>
      <c r="B44" s="9">
        <v>90.666666666666671</v>
      </c>
    </row>
    <row r="45" spans="1:2" x14ac:dyDescent="0.25">
      <c r="A45" s="5" t="s">
        <v>529</v>
      </c>
      <c r="B45" s="9">
        <v>71</v>
      </c>
    </row>
    <row r="46" spans="1:2" x14ac:dyDescent="0.25">
      <c r="A46" s="5" t="s">
        <v>443</v>
      </c>
      <c r="B46" s="9">
        <v>69</v>
      </c>
    </row>
    <row r="47" spans="1:2" x14ac:dyDescent="0.25">
      <c r="A47" s="5" t="s">
        <v>693</v>
      </c>
      <c r="B47" s="9">
        <v>53</v>
      </c>
    </row>
    <row r="48" spans="1:2" x14ac:dyDescent="0.25">
      <c r="A48" s="5" t="s">
        <v>702</v>
      </c>
      <c r="B48" s="9">
        <v>94</v>
      </c>
    </row>
    <row r="49" spans="1:6" x14ac:dyDescent="0.25">
      <c r="A49" s="5" t="s">
        <v>716</v>
      </c>
      <c r="B49" s="9">
        <v>74.5</v>
      </c>
    </row>
    <row r="50" spans="1:6" x14ac:dyDescent="0.25">
      <c r="A50" s="5" t="s">
        <v>764</v>
      </c>
      <c r="B50" s="9">
        <v>65</v>
      </c>
    </row>
    <row r="51" spans="1:6" x14ac:dyDescent="0.25">
      <c r="A51" s="5" t="s">
        <v>736</v>
      </c>
      <c r="B51" s="9">
        <v>48.333333333333336</v>
      </c>
    </row>
    <row r="52" spans="1:6" x14ac:dyDescent="0.25">
      <c r="A52" s="5" t="s">
        <v>781</v>
      </c>
      <c r="B52" s="9">
        <v>71.786885245901644</v>
      </c>
    </row>
    <row r="61" spans="1:6" x14ac:dyDescent="0.25">
      <c r="A61" s="4" t="s">
        <v>780</v>
      </c>
      <c r="B61" t="s">
        <v>788</v>
      </c>
      <c r="C61" t="s">
        <v>789</v>
      </c>
      <c r="D61" t="s">
        <v>790</v>
      </c>
      <c r="E61" t="s">
        <v>791</v>
      </c>
      <c r="F61" t="s">
        <v>792</v>
      </c>
    </row>
    <row r="62" spans="1:6" x14ac:dyDescent="0.25">
      <c r="A62" s="5" t="s">
        <v>433</v>
      </c>
      <c r="B62" s="9">
        <v>90.571428571428569</v>
      </c>
      <c r="C62" s="9">
        <v>81.714285714285708</v>
      </c>
      <c r="D62" s="9">
        <v>45.714285714285715</v>
      </c>
      <c r="E62" s="9">
        <v>71.285714285714292</v>
      </c>
      <c r="F62" s="9">
        <v>6.5714285714285712</v>
      </c>
    </row>
    <row r="63" spans="1:6" x14ac:dyDescent="0.25">
      <c r="A63" s="5" t="s">
        <v>85</v>
      </c>
      <c r="B63" s="9">
        <v>93.05263157894737</v>
      </c>
      <c r="C63" s="9">
        <v>82.315789473684205</v>
      </c>
      <c r="D63" s="9">
        <v>80</v>
      </c>
      <c r="E63" s="9">
        <v>63.157894736842103</v>
      </c>
      <c r="F63" s="9">
        <v>8.3684210526315788</v>
      </c>
    </row>
    <row r="64" spans="1:6" x14ac:dyDescent="0.25">
      <c r="A64" s="5" t="s">
        <v>169</v>
      </c>
      <c r="B64" s="9">
        <v>86.555555555555557</v>
      </c>
      <c r="C64" s="9">
        <v>81</v>
      </c>
      <c r="D64" s="9">
        <v>62.222222222222221</v>
      </c>
      <c r="E64" s="9">
        <v>53.666666666666664</v>
      </c>
      <c r="F64" s="9">
        <v>7.833333333333333</v>
      </c>
    </row>
    <row r="65" spans="1:6" x14ac:dyDescent="0.25">
      <c r="A65" s="5" t="s">
        <v>109</v>
      </c>
      <c r="B65" s="9">
        <v>85.764705882352942</v>
      </c>
      <c r="C65" s="9">
        <v>84.941176470588232</v>
      </c>
      <c r="D65" s="9">
        <v>68.235294117647058</v>
      </c>
      <c r="E65" s="9">
        <v>58.823529411764703</v>
      </c>
      <c r="F65" s="9">
        <v>7.2941176470588234</v>
      </c>
    </row>
    <row r="66" spans="1:6" x14ac:dyDescent="0.25">
      <c r="A66" s="5" t="s">
        <v>781</v>
      </c>
      <c r="B66" s="9">
        <v>88.819672131147541</v>
      </c>
      <c r="C66" s="9">
        <v>82.590163934426229</v>
      </c>
      <c r="D66" s="9">
        <v>67.540983606557376</v>
      </c>
      <c r="E66" s="9">
        <v>60.081967213114751</v>
      </c>
      <c r="F66" s="9">
        <v>7.7049180327868854</v>
      </c>
    </row>
    <row r="72" spans="1:6" x14ac:dyDescent="0.25">
      <c r="A72" s="4" t="s">
        <v>787</v>
      </c>
      <c r="B72" s="4" t="s">
        <v>793</v>
      </c>
    </row>
    <row r="73" spans="1:6" x14ac:dyDescent="0.25">
      <c r="A73" s="4" t="s">
        <v>13</v>
      </c>
      <c r="B73" t="s">
        <v>776</v>
      </c>
      <c r="C73" t="s">
        <v>777</v>
      </c>
      <c r="D73" t="s">
        <v>778</v>
      </c>
      <c r="E73" t="s">
        <v>779</v>
      </c>
      <c r="F73" t="s">
        <v>781</v>
      </c>
    </row>
    <row r="74" spans="1:6" x14ac:dyDescent="0.25">
      <c r="A74" s="5" t="s">
        <v>433</v>
      </c>
      <c r="B74" s="10">
        <v>2</v>
      </c>
      <c r="C74" s="10">
        <v>1</v>
      </c>
      <c r="D74" s="10">
        <v>3</v>
      </c>
      <c r="E74" s="10">
        <v>1</v>
      </c>
      <c r="F74" s="10">
        <v>7</v>
      </c>
    </row>
    <row r="75" spans="1:6" x14ac:dyDescent="0.25">
      <c r="A75" s="5" t="s">
        <v>85</v>
      </c>
      <c r="B75" s="10">
        <v>4</v>
      </c>
      <c r="C75" s="10">
        <v>9</v>
      </c>
      <c r="D75" s="10">
        <v>5</v>
      </c>
      <c r="E75" s="10">
        <v>1</v>
      </c>
      <c r="F75" s="10">
        <v>19</v>
      </c>
    </row>
    <row r="76" spans="1:6" x14ac:dyDescent="0.25">
      <c r="A76" s="5" t="s">
        <v>169</v>
      </c>
      <c r="B76" s="10">
        <v>2</v>
      </c>
      <c r="C76" s="10">
        <v>7</v>
      </c>
      <c r="D76" s="10">
        <v>6</v>
      </c>
      <c r="E76" s="10">
        <v>3</v>
      </c>
      <c r="F76" s="10">
        <v>18</v>
      </c>
    </row>
    <row r="77" spans="1:6" x14ac:dyDescent="0.25">
      <c r="A77" s="5" t="s">
        <v>109</v>
      </c>
      <c r="B77" s="10">
        <v>2</v>
      </c>
      <c r="C77" s="10">
        <v>10</v>
      </c>
      <c r="D77" s="10">
        <v>2</v>
      </c>
      <c r="E77" s="10">
        <v>3</v>
      </c>
      <c r="F77" s="10">
        <v>17</v>
      </c>
    </row>
    <row r="78" spans="1:6" x14ac:dyDescent="0.25">
      <c r="A78" s="5" t="s">
        <v>781</v>
      </c>
      <c r="B78" s="10">
        <v>10</v>
      </c>
      <c r="C78" s="10">
        <v>27</v>
      </c>
      <c r="D78" s="10">
        <v>16</v>
      </c>
      <c r="E78" s="10">
        <v>8</v>
      </c>
      <c r="F78" s="10">
        <v>61</v>
      </c>
    </row>
  </sheetData>
  <conditionalFormatting pivot="1" sqref="B62:F65">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Qs)Part-3</vt:lpstr>
      <vt:lpstr>Qs)Part-4 Visualizations-1</vt:lpstr>
      <vt:lpstr>CX_Junior BI Analyst_Test</vt:lpstr>
      <vt:lpstr>Pivot Tables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Shubham Gadekar_DVVPCOE</cp:lastModifiedBy>
  <cp:revision/>
  <dcterms:created xsi:type="dcterms:W3CDTF">2024-01-18T01:14:11Z</dcterms:created>
  <dcterms:modified xsi:type="dcterms:W3CDTF">2026-03-05T04:40:42Z</dcterms:modified>
</cp:coreProperties>
</file>